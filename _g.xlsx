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eBay upload" sheetId="4" state="visible" r:id="rId4"/>
    <sheet xmlns:r="http://schemas.openxmlformats.org/officeDocument/2006/relationships" name="Purchases" sheetId="5" state="visible" r:id="rId5"/>
    <sheet xmlns:r="http://schemas.openxmlformats.org/officeDocument/2006/relationships" name="Box log" sheetId="6" state="visible" r:id="rId6"/>
    <sheet xmlns:r="http://schemas.openxmlformats.org/officeDocument/2006/relationships" name="Expenses" sheetId="7" state="visible" r:id="rId7"/>
    <sheet xmlns:r="http://schemas.openxmlformats.org/officeDocument/2006/relationships" name="Sales" sheetId="8" state="visible" r:id="rId8"/>
    <sheet xmlns:r="http://schemas.openxmlformats.org/officeDocument/2006/relationships" name="Photos" sheetId="9" state="visible" r:id="rId9"/>
    <sheet xmlns:r="http://schemas.openxmlformats.org/officeDocument/2006/relationships" name="Audit" sheetId="10" state="visible" r:id="rId10"/>
    <sheet xmlns:r="http://schemas.openxmlformats.org/officeDocument/2006/relationships" name="Reference" sheetId="11" state="visible" r:id="rId11"/>
    <sheet xmlns:r="http://schemas.openxmlformats.org/officeDocument/2006/relationships" name="Lists" sheetId="12" state="hidden" r:id="rId12"/>
  </sheets>
  <definedNames>
    <definedName name="_xlnm._FilterDatabase" localSheetId="2" hidden="1">'Inventory'!$A$1:$AH$61</definedName>
    <definedName name="_xlnm._FilterDatabase" localSheetId="5" hidden="1">'Box log'!$A$1:$S$201</definedName>
    <definedName name="_xlnm._FilterDatabase" localSheetId="7" hidden="1">'Sales'!$A$1:$O$301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yyyy-mm-dd"/>
  </numFmts>
  <fonts count="8">
    <font>
      <name val="Calibri"/>
      <family val="2"/>
      <color theme="1"/>
      <sz val="11"/>
      <scheme val="minor"/>
    </font>
    <font>
      <b val="1"/>
      <color rgb="001B1F2A"/>
      <sz val="14"/>
    </font>
    <font>
      <color rgb="0055607A"/>
      <sz val="9"/>
    </font>
    <font>
      <b val="1"/>
      <sz val="11"/>
    </font>
    <font>
      <b val="1"/>
      <color rgb="003B4A6B"/>
    </font>
    <font>
      <b val="1"/>
    </font>
    <font>
      <b val="1"/>
      <color rgb="009C0006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6E5"/>
      </patternFill>
    </fill>
    <fill>
      <patternFill patternType="solid">
        <fgColor rgb="001B1F2A"/>
      </patternFill>
    </fill>
    <fill>
      <patternFill patternType="solid">
        <fgColor rgb="003B4A6B"/>
      </patternFill>
    </fill>
  </fills>
  <borders count="2">
    <border>
      <left/>
      <right/>
      <top/>
      <bottom/>
      <diagonal/>
    </border>
    <border>
      <left style="thin">
        <color rgb="00C9D0DE"/>
      </left>
      <right style="thin">
        <color rgb="00C9D0DE"/>
      </right>
      <top style="thin">
        <color rgb="00C9D0DE"/>
      </top>
      <bottom style="thin">
        <color rgb="00C9D0D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6" fillId="0" borderId="0" pivotButton="0" quotePrefix="0" xfId="0"/>
    <xf numFmtId="0" fontId="2" fillId="2" borderId="0" applyAlignment="1" pivotButton="0" quotePrefix="0" xfId="0">
      <alignment vertical="top" wrapText="1"/>
    </xf>
    <xf numFmtId="0" fontId="7" fillId="4" borderId="0" pivotButton="0" quotePrefix="0" xfId="0"/>
    <xf numFmtId="0" fontId="5" fillId="4" borderId="0" pivotButton="0" quotePrefix="0" xfId="0"/>
    <xf numFmtId="0" fontId="0" fillId="4" borderId="0" pivotButton="0" quotePrefix="0" xfId="0"/>
    <xf numFmtId="164" fontId="5" fillId="0" borderId="0" pivotButton="0" quotePrefix="0" xfId="0"/>
    <xf numFmtId="0" fontId="2" fillId="0" borderId="0" applyAlignment="1" pivotButton="0" quotePrefix="0" xfId="0">
      <alignment vertical="center" wrapText="1"/>
    </xf>
    <xf numFmtId="0" fontId="5" fillId="0" borderId="0" pivotButton="0" quotePrefix="0" xfId="0"/>
    <xf numFmtId="165" fontId="5" fillId="0" borderId="0" pivotButton="0" quotePrefix="0" xfId="0"/>
    <xf numFmtId="0" fontId="7" fillId="3" borderId="1" applyAlignment="1" pivotButton="0" quotePrefix="0" xfId="0">
      <alignment vertical="center" wrapText="1"/>
    </xf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D8F0DC"/>
        </patternFill>
      </fill>
    </dxf>
    <dxf>
      <font>
        <b val="1"/>
        <color rgb="009C0006"/>
      </font>
    </dxf>
    <dxf>
      <font>
        <b val="1"/>
        <color rgb="001E6B3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0" customWidth="1" min="1" max="1"/>
    <col width="96" customWidth="1" min="2" max="2"/>
  </cols>
  <sheetData>
    <row r="1">
      <c r="A1" s="1" t="inlineStr">
        <is>
          <t>Card Run HQ -- master workbook</t>
        </is>
      </c>
    </row>
    <row r="2">
      <c r="A2" s="2" t="inlineStr">
        <is>
          <t>Built 2026-08-16. Inventory is the master record; the eBay upload is generated from it.</t>
        </is>
      </c>
    </row>
    <row r="4">
      <c r="A4" s="3" t="inlineStr">
        <is>
          <t>Photo to listing</t>
        </is>
      </c>
    </row>
    <row r="5" ht="15" customHeight="1">
      <c r="A5" s="4" t="inlineStr">
        <is>
          <t>1</t>
        </is>
      </c>
      <c r="B5" s="5" t="inlineStr">
        <is>
          <t>Photograph the card, front and back, and send it to Claude.</t>
        </is>
      </c>
    </row>
    <row r="6" ht="15" customHeight="1">
      <c r="A6" s="4" t="inlineStr">
        <is>
          <t>2</t>
        </is>
      </c>
      <c r="B6" s="5" t="inlineStr">
        <is>
          <t>Claude reads the set, number and parallel off the card and gives you a row for Inventory.</t>
        </is>
      </c>
    </row>
    <row r="7" ht="15" customHeight="1">
      <c r="A7" s="4" t="inlineStr">
        <is>
          <t>3</t>
        </is>
      </c>
      <c r="B7" s="5" t="inlineStr">
        <is>
          <t>Tap the 'sold' link in that row to see what the card actually sells for, and put that in Market value.</t>
        </is>
      </c>
    </row>
    <row r="8" ht="15" customHeight="1">
      <c r="A8" s="4" t="inlineStr">
        <is>
          <t>4</t>
        </is>
      </c>
      <c r="B8" s="5" t="inlineStr">
        <is>
          <t>Set Ask price. Est fees, Est net and Margin fill in on their own.</t>
        </is>
      </c>
    </row>
    <row r="9" ht="15" customHeight="1">
      <c r="A9" s="4" t="inlineStr">
        <is>
          <t>5</t>
        </is>
      </c>
      <c r="B9" s="5" t="inlineStr">
        <is>
          <t>Run: python make_ebay_csv.py</t>
        </is>
      </c>
    </row>
    <row r="10" ht="15" customHeight="1">
      <c r="A10" s="4" t="inlineStr">
        <is>
          <t>6</t>
        </is>
      </c>
      <c r="B10" s="5" t="inlineStr">
        <is>
          <t>In eBay, go to Seller Hub, Reports, Uploads, and download the template for Trading Card Singles.</t>
        </is>
      </c>
    </row>
    <row r="11" ht="15" customHeight="1">
      <c r="A11" s="4" t="inlineStr">
        <is>
          <t>7</t>
        </is>
      </c>
      <c r="B11" s="5" t="inlineStr">
        <is>
          <t>Put that file in this folder as ebay-template.csv and run the script again -- it will match your template's header row exactly.</t>
        </is>
      </c>
    </row>
    <row r="12" ht="15" customHeight="1">
      <c r="A12" s="4" t="inlineStr">
        <is>
          <t>8</t>
        </is>
      </c>
      <c r="B12" s="5" t="inlineStr">
        <is>
          <t>Upload the CSV it writes, then check the results report on the same page.</t>
        </is>
      </c>
    </row>
    <row r="14">
      <c r="A14" s="3" t="inlineStr">
        <is>
          <t>The tabs</t>
        </is>
      </c>
    </row>
    <row r="15" ht="44" customHeight="1">
      <c r="A15" s="6" t="inlineStr">
        <is>
          <t>Summary</t>
        </is>
      </c>
      <c r="B15" s="5" t="inlineStr">
        <is>
          <t>What it all adds up to: spent, held, sold, and whether it is working. Every figure is a formula over the other tabs, so nothing here can go stale -- if a number looks wrong, the row it came from is wrong.</t>
        </is>
      </c>
    </row>
    <row r="16" ht="44" customHeight="1">
      <c r="A16" s="6" t="inlineStr">
        <is>
          <t>Audit</t>
        </is>
      </c>
      <c r="B16" s="5" t="inlineStr">
        <is>
          <t>What to fix before it costs you: cards held for review, a listing with no price or no photo, a title over 80 characters, a purchase with no receipt, a card that sold but is still marked in stock. All counts, all live. Zero down the column means the workbook is clean.</t>
        </is>
      </c>
    </row>
    <row r="17" ht="44" customHeight="1">
      <c r="A17" s="6" t="inlineStr">
        <is>
          <t>Inventory</t>
        </is>
      </c>
      <c r="B17" s="5" t="inlineStr">
        <is>
          <t>Every card you own, one row each. This is the master -- everything else reads from it. Type into the white columns; the shaded ones work themselves out. The eBay title builds itself and Len turns red past 80 characters, which is eBay's hard limit.</t>
        </is>
      </c>
    </row>
    <row r="18" ht="44" customHeight="1">
      <c r="A18" s="6" t="inlineStr">
        <is>
          <t>eBay upload</t>
        </is>
      </c>
      <c r="B18" s="5" t="inlineStr">
        <is>
          <t>Written for you by make_ebay_csv.py. Do not type here -- it gets rebuilt. It holds only the Inventory rows marked Unlisted.</t>
        </is>
      </c>
    </row>
    <row r="19" ht="44" customHeight="1">
      <c r="A19" s="6" t="inlineStr">
        <is>
          <t>Purchases</t>
        </is>
      </c>
      <c r="B19" s="5" t="inlineStr">
        <is>
          <t>Every buy with its receipt -- boxes, singles, bulk lots, supplies. Put the same Lot ID here, on the Box log and on the cards that came out, and cost per card stops being a guess. Receipt file is the name you saved the photo or PDF under; keep it for the tax year and for disputes.</t>
        </is>
      </c>
    </row>
    <row r="20" ht="44" customHeight="1">
      <c r="A20" s="6" t="inlineStr">
        <is>
          <t>Box log</t>
        </is>
      </c>
      <c r="B20" s="5" t="inlineStr">
        <is>
          <t>Every box and pack bought: where, when, what it cost with tax, how many cards came out and what they were worth. Net vs cost is the number that says whether ripping beat selling it sealed.</t>
        </is>
      </c>
    </row>
    <row r="21" ht="44" customHeight="1">
      <c r="A21" s="6" t="inlineStr">
        <is>
          <t>Expenses</t>
        </is>
      </c>
      <c r="B21" s="5" t="inlineStr">
        <is>
          <t>The costs that are not a card: toploaders, mailers, postage, the scanner, subscriptions. These are what turn a gross profit into a real one and they are the first thing forgotten.</t>
        </is>
      </c>
    </row>
    <row r="22" ht="44" customHeight="1">
      <c r="A22" s="6" t="inlineStr">
        <is>
          <t>Photos</t>
        </is>
      </c>
      <c r="B22" s="5" t="inlineStr">
        <is>
          <t>Which cards have a picture, with the picture in it -- run embed_photos.py and scroll it as a visual stock check. The URL column is what eBay fetches; it only works once the photos have been pushed, because the workbook carries links rather than the image files themselves.</t>
        </is>
      </c>
    </row>
    <row r="23" ht="44" customHeight="1">
      <c r="A23" s="6" t="inlineStr">
        <is>
          <t>Sales</t>
        </is>
      </c>
      <c r="B23" s="5" t="inlineStr">
        <is>
          <t>What actually sold and what was left after fees. Profit is measured against cost basis, so allocate the box cost across the cards it produced -- Cost per card on the Box log gives you that figure.</t>
        </is>
      </c>
    </row>
    <row r="24" ht="44" customHeight="1">
      <c r="A24" s="6" t="inlineStr">
        <is>
          <t>Reference</t>
        </is>
      </c>
      <c r="B24" s="5" t="inlineStr">
        <is>
          <t>The eBay codes the upload depends on, with where each one came from. Check this tab first if an upload gets rejected.</t>
        </is>
      </c>
    </row>
    <row r="26">
      <c r="A26" s="7" t="inlineStr">
        <is>
          <t>Read this before the first upload</t>
        </is>
      </c>
    </row>
    <row r="27" ht="44" customHeight="1">
      <c r="B27" s="8" t="inlineStr">
        <is>
          <t>eBay retired File Exchange. Bulk uploads now go through Seller Hub, Reports, Uploads.</t>
        </is>
      </c>
    </row>
    <row r="28" ht="44" customHeight="1">
      <c r="B28" s="8" t="inlineStr">
        <is>
          <t>The header row of an upload file is tied to your account and to the template version, so a header typed from documentation can be rejected even when every value in it is right. Download your own template once, save it in this folder as ebay-template.csv, and the script will conform to it.</t>
        </is>
      </c>
    </row>
    <row r="29" ht="44" customHeight="1">
      <c r="B29" s="8" t="inlineStr">
        <is>
          <t>Upload one card the first time. Read the results report. Then do the rest in bulk.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</cols>
  <sheetData>
    <row r="1">
      <c r="A1" s="1" t="inlineStr">
        <is>
          <t>Card Run HQ — where it stands</t>
        </is>
      </c>
    </row>
    <row r="2">
      <c r="A2" s="9" t="inlineStr">
        <is>
          <t>MONEY OUT</t>
        </is>
      </c>
      <c r="B2" s="10" t="n"/>
      <c r="C2" s="11" t="n"/>
    </row>
    <row r="3">
      <c r="A3" t="inlineStr">
        <is>
          <t>Spent on stock</t>
        </is>
      </c>
      <c r="B3" s="12">
        <f>N(SUM(Purchases!M2:M61))</f>
        <v/>
      </c>
      <c r="C3" s="13" t="inlineStr">
        <is>
          <t>Every row on Purchases, tax and shipping included.</t>
        </is>
      </c>
    </row>
    <row r="4">
      <c r="A4" t="inlineStr">
        <is>
          <t>Spent on everything else</t>
        </is>
      </c>
      <c r="B4" s="12">
        <f>N(SUM(Expenses!E2:E61))</f>
        <v/>
      </c>
      <c r="C4" s="13" t="inlineStr">
        <is>
          <t>Supplies, postage, subscriptions — the Expenses tab.</t>
        </is>
      </c>
    </row>
    <row r="5">
      <c r="A5" t="inlineStr">
        <is>
          <t>Total out of pocket</t>
        </is>
      </c>
      <c r="B5" s="12">
        <f>B3+B4</f>
        <v/>
      </c>
      <c r="C5" s="13" t="inlineStr">
        <is>
          <t>The real number, not the card cost.</t>
        </is>
      </c>
    </row>
    <row r="6">
      <c r="A6" s="9" t="inlineStr">
        <is>
          <t>THE STOCK</t>
        </is>
      </c>
      <c r="B6" s="10" t="n"/>
      <c r="C6" s="11" t="n"/>
    </row>
    <row r="7">
      <c r="A7" t="inlineStr">
        <is>
          <t>Cards on hand</t>
        </is>
      </c>
      <c r="B7" s="14">
        <f>N(SUMIFS(Inventory!X2:X61,Inventory!B2:B61,"Unlisted"))+N(SUMIFS(Inventory!X2:X61,Inventory!B2:B61,"Listed"))+N(SUMIFS(Inventory!X2:X61,Inventory!B2:B61,"Review"))</f>
        <v/>
      </c>
      <c r="C7" s="13" t="inlineStr">
        <is>
          <t>Quantity, not rows — Unlisted, Listed and Review.</t>
        </is>
      </c>
    </row>
    <row r="8">
      <c r="A8" t="inlineStr">
        <is>
          <t>What they cost</t>
        </is>
      </c>
      <c r="B8" s="12">
        <f>N(SUMPRODUCT(Inventory!X2:X61,Inventory!Y2:Y61))</f>
        <v/>
      </c>
      <c r="C8" s="13" t="inlineStr">
        <is>
          <t>Qty times cost each, across everything logged.</t>
        </is>
      </c>
    </row>
    <row r="9">
      <c r="A9" t="inlineStr">
        <is>
          <t>What they are worth</t>
        </is>
      </c>
      <c r="B9" s="12">
        <f>N(SUMPRODUCT(Inventory!X2:X61,Inventory!Z2:Z61))</f>
        <v/>
      </c>
      <c r="C9" s="13" t="inlineStr">
        <is>
          <t>Qty times market value. A guess for sports; there is no free feed.</t>
        </is>
      </c>
    </row>
    <row r="10">
      <c r="A10" t="inlineStr">
        <is>
          <t>Unrealised gain</t>
        </is>
      </c>
      <c r="B10" s="12">
        <f>B9-B8</f>
        <v/>
      </c>
      <c r="C10" s="13" t="inlineStr">
        <is>
          <t>Worth minus cost. Not money until it sells.</t>
        </is>
      </c>
    </row>
    <row r="11">
      <c r="A11" s="9" t="inlineStr">
        <is>
          <t>WAITING ON YOU</t>
        </is>
      </c>
      <c r="B11" s="10" t="n"/>
      <c r="C11" s="11" t="n"/>
    </row>
    <row r="12">
      <c r="A12" t="inlineStr">
        <is>
          <t>Held for review</t>
        </is>
      </c>
      <c r="B12" s="14">
        <f>COUNTIF(Inventory!B2:B61,"Review")</f>
        <v/>
      </c>
      <c r="C12" s="13" t="inlineStr">
        <is>
          <t>Something on the card was uncertain. These cannot be exported.</t>
        </is>
      </c>
    </row>
    <row r="13">
      <c r="A13" t="inlineStr">
        <is>
          <t>Ready to list</t>
        </is>
      </c>
      <c r="B13" s="14">
        <f>COUNTIF(Inventory!B2:B61,"Unlisted")</f>
        <v/>
      </c>
      <c r="C13" s="13" t="inlineStr">
        <is>
          <t>What make_ebay_csv.py will pick up next run.</t>
        </is>
      </c>
    </row>
    <row r="14">
      <c r="A14" t="inlineStr">
        <is>
          <t>Listed now</t>
        </is>
      </c>
      <c r="B14" s="14">
        <f>COUNTIF(Inventory!B2:B61,"Listed")</f>
        <v/>
      </c>
    </row>
    <row r="15">
      <c r="A15" s="9" t="inlineStr">
        <is>
          <t>MONEY IN</t>
        </is>
      </c>
      <c r="B15" s="10" t="n"/>
      <c r="C15" s="11" t="n"/>
    </row>
    <row r="16">
      <c r="A16" t="inlineStr">
        <is>
          <t>Sold</t>
        </is>
      </c>
      <c r="B16" s="14">
        <f>COUNTA(Sales!B2:B301)</f>
        <v/>
      </c>
      <c r="C16" s="13" t="inlineStr">
        <is>
          <t>Rows on the Sales tab.</t>
        </is>
      </c>
    </row>
    <row r="17">
      <c r="A17" t="inlineStr">
        <is>
          <t>Gross</t>
        </is>
      </c>
      <c r="B17" s="12">
        <f>N(SUM(Sales!G2:G301))</f>
        <v/>
      </c>
      <c r="C17" s="13" t="inlineStr">
        <is>
          <t>Sale price plus what they paid to ship.</t>
        </is>
      </c>
    </row>
    <row r="18">
      <c r="A18" t="inlineStr">
        <is>
          <t>Fees and postage</t>
        </is>
      </c>
      <c r="B18" s="12">
        <f>N(SUM(Sales!H2:H301))+N(SUM(Sales!I2:I301))+N(SUM(Sales!J2:J301))</f>
        <v/>
      </c>
    </row>
    <row r="19">
      <c r="A19" t="inlineStr">
        <is>
          <t>Net received</t>
        </is>
      </c>
      <c r="B19" s="12">
        <f>N(SUM(Sales!K2:K301))</f>
        <v/>
      </c>
    </row>
    <row r="20">
      <c r="A20" t="inlineStr">
        <is>
          <t>Profit on what sold</t>
        </is>
      </c>
      <c r="B20" s="12">
        <f>N(SUM(Sales!M2:M301))</f>
        <v/>
      </c>
      <c r="C20" s="13" t="inlineStr">
        <is>
          <t>Net minus what those cards cost.</t>
        </is>
      </c>
    </row>
    <row r="21">
      <c r="A21" s="9" t="inlineStr">
        <is>
          <t>THE ANSWER</t>
        </is>
      </c>
      <c r="B21" s="10" t="n"/>
      <c r="C21" s="11" t="n"/>
    </row>
    <row r="22">
      <c r="A22" t="inlineStr">
        <is>
          <t>Profit against everything spent</t>
        </is>
      </c>
      <c r="B22" s="12">
        <f>B20-B5</f>
        <v/>
      </c>
      <c r="C22" s="13" t="inlineStr">
        <is>
          <t>Sold profit minus every pound out. Negative until the stock turns over.</t>
        </is>
      </c>
    </row>
    <row r="23">
      <c r="A23" t="inlineStr">
        <is>
          <t>Return on money spent</t>
        </is>
      </c>
      <c r="B23" s="15">
        <f>IF(N(B5)=0,"",B20/B5)</f>
        <v/>
      </c>
      <c r="C23" s="13" t="inlineStr">
        <is>
          <t>Profit over spend. This is the number that says whether it works.</t>
        </is>
      </c>
    </row>
    <row r="25">
      <c r="A25" s="8" t="inlineStr">
        <is>
          <t>Every number here is a formula over the other tabs. Nothing on this sheet is typed, so it cannot go stale — if a figure looks wrong, the row it came from is wrong.</t>
        </is>
      </c>
    </row>
    <row r="26"/>
    <row r="27"/>
  </sheetData>
  <mergeCells count="2">
    <mergeCell ref="A1:C1"/>
    <mergeCell ref="A25:C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8" customWidth="1" min="4" max="4"/>
    <col width="11" customWidth="1" min="5" max="5"/>
    <col width="10" customWidth="1" min="6" max="6"/>
    <col width="14" customWidth="1" min="7" max="7"/>
    <col width="10" customWidth="1" min="8" max="8"/>
    <col width="7" customWidth="1" min="9" max="9"/>
    <col width="24" customWidth="1" min="10" max="10"/>
    <col width="20" customWidth="1" min="11" max="11"/>
    <col width="18" customWidth="1" min="12" max="12"/>
    <col width="22" customWidth="1" min="13" max="13"/>
    <col width="9" customWidth="1" min="14" max="14"/>
    <col width="9" customWidth="1" min="15" max="15"/>
    <col width="18" customWidth="1" min="16" max="16"/>
    <col width="6" customWidth="1" min="17" max="17"/>
    <col width="6" customWidth="1" min="18" max="18"/>
    <col width="7" customWidth="1" min="19" max="19"/>
    <col width="20" customWidth="1" min="20" max="20"/>
    <col width="7" customWidth="1" min="21" max="21"/>
    <col width="13" customWidth="1" min="22" max="22"/>
    <col width="18" customWidth="1" min="23" max="23"/>
    <col width="6" customWidth="1" min="24" max="24"/>
    <col width="11" customWidth="1" min="25" max="25"/>
    <col width="12" customWidth="1" min="26" max="26"/>
    <col width="11" customWidth="1" min="27" max="27"/>
    <col width="10" customWidth="1" min="28" max="28"/>
    <col width="10" customWidth="1" min="29" max="29"/>
    <col width="9" customWidth="1" min="30" max="30"/>
    <col width="52" customWidth="1" min="31" max="31"/>
    <col width="6" customWidth="1" min="32" max="32"/>
    <col width="12" customWidth="1" min="33" max="33"/>
    <col width="34" customWidth="1" min="34" max="34"/>
  </cols>
  <sheetData>
    <row r="1" ht="30" customHeight="1">
      <c r="A1" s="16" t="inlineStr">
        <is>
          <t>SKU</t>
        </is>
      </c>
      <c r="B1" s="16" t="inlineStr">
        <is>
          <t>Status</t>
        </is>
      </c>
      <c r="C1" s="16" t="inlineStr">
        <is>
          <t>Date in</t>
        </is>
      </c>
      <c r="D1" s="16" t="inlineStr">
        <is>
          <t>Source</t>
        </is>
      </c>
      <c r="E1" s="16" t="inlineStr">
        <is>
          <t>Lot ID</t>
        </is>
      </c>
      <c r="F1" s="16" t="inlineStr">
        <is>
          <t>Category</t>
        </is>
      </c>
      <c r="G1" s="16" t="inlineStr">
        <is>
          <t>Sport or game</t>
        </is>
      </c>
      <c r="H1" s="16" t="inlineStr">
        <is>
          <t>League</t>
        </is>
      </c>
      <c r="I1" s="16" t="inlineStr">
        <is>
          <t>Year</t>
        </is>
      </c>
      <c r="J1" s="16" t="inlineStr">
        <is>
          <t>Brand / set</t>
        </is>
      </c>
      <c r="K1" s="16" t="inlineStr">
        <is>
          <t>Insert set</t>
        </is>
      </c>
      <c r="L1" s="16" t="inlineStr">
        <is>
          <t>Parallel</t>
        </is>
      </c>
      <c r="M1" s="16" t="inlineStr">
        <is>
          <t>Player or card name</t>
        </is>
      </c>
      <c r="N1" s="16" t="inlineStr">
        <is>
          <t>Card #</t>
        </is>
      </c>
      <c r="O1" s="16" t="inlineStr">
        <is>
          <t>Serial /</t>
        </is>
      </c>
      <c r="P1" s="16" t="inlineStr">
        <is>
          <t>Team</t>
        </is>
      </c>
      <c r="Q1" s="16" t="inlineStr">
        <is>
          <t>RC</t>
        </is>
      </c>
      <c r="R1" s="16" t="inlineStr">
        <is>
          <t>Auto</t>
        </is>
      </c>
      <c r="S1" s="16" t="inlineStr">
        <is>
          <t>Relic</t>
        </is>
      </c>
      <c r="T1" s="16" t="inlineStr">
        <is>
          <t>Graded by</t>
        </is>
      </c>
      <c r="U1" s="16" t="inlineStr">
        <is>
          <t>Grade</t>
        </is>
      </c>
      <c r="V1" s="16" t="inlineStr">
        <is>
          <t>Cert #</t>
        </is>
      </c>
      <c r="W1" s="16" t="inlineStr">
        <is>
          <t>Card condition</t>
        </is>
      </c>
      <c r="X1" s="16" t="inlineStr">
        <is>
          <t>Qty</t>
        </is>
      </c>
      <c r="Y1" s="16" t="inlineStr">
        <is>
          <t>Cost each</t>
        </is>
      </c>
      <c r="Z1" s="16" t="inlineStr">
        <is>
          <t>Market value</t>
        </is>
      </c>
      <c r="AA1" s="16" t="inlineStr">
        <is>
          <t>Ask price</t>
        </is>
      </c>
      <c r="AB1" s="16" t="inlineStr">
        <is>
          <t>Est fees</t>
        </is>
      </c>
      <c r="AC1" s="16" t="inlineStr">
        <is>
          <t>Est net</t>
        </is>
      </c>
      <c r="AD1" s="16" t="inlineStr">
        <is>
          <t>Margin</t>
        </is>
      </c>
      <c r="AE1" s="16" t="inlineStr">
        <is>
          <t>eBay title</t>
        </is>
      </c>
      <c r="AF1" s="16" t="inlineStr">
        <is>
          <t>Len</t>
        </is>
      </c>
      <c r="AG1" s="16" t="inlineStr">
        <is>
          <t>Sold comps</t>
        </is>
      </c>
      <c r="AH1" s="16" t="inlineStr">
        <is>
          <t>Notes</t>
        </is>
      </c>
    </row>
    <row r="2">
      <c r="C2" s="17" t="n"/>
      <c r="Y2" s="18" t="n"/>
      <c r="Z2" s="18" t="n"/>
      <c r="AA2" s="18" t="n"/>
      <c r="AB2" s="18">
        <f>ARRAYFORMULA(IF(AA2:AA="","",ROUND(AA2:AA*0.1325,2)+IF(AA2:AA&lt;10,0.3,0.4)))</f>
        <v/>
      </c>
      <c r="AC2" s="18">
        <f>ARRAYFORMULA(IF(AA2:AA="","",AA2:AA-AB2:AB))</f>
        <v/>
      </c>
      <c r="AD2" s="19">
        <f>ARRAYFORMULA(IF(AC2:AC="","",IF(Y2:Y="","",(AC2:AC-Y2:Y)/AC2:AC)))</f>
        <v/>
      </c>
      <c r="AE2">
        <f>ARRAYFORMULA(IF(M2:M="","",TRIM(I2:I&amp;" "&amp;J2:J&amp;" "&amp;K2:K&amp;" "&amp;L2:L&amp;" "&amp;M2:M&amp;IF(N2:N=""," "," #"&amp;N2:N)&amp;IF(O2:O=""," "," /"&amp;O2:O)&amp;IF(Q2:Q="Yes"," RC","")&amp;IF(R2:R="Yes"," AUTO","")&amp;IF(S2:S="Yes"," PATCH",""))))</f>
        <v/>
      </c>
      <c r="AF2">
        <f>ARRAYFORMULA(IF(AE2:AE="","",LEN(AE2:AE)))</f>
        <v/>
      </c>
      <c r="AG2">
        <f>ARRAYFORMULA(IF(M2:M="","",HYPERLINK("https://www.ebay.com/sch/i.html?_nkw="&amp;SUBSTITUTE(TRIM(I2:I&amp;" "&amp;J2:J&amp;" "&amp;K2:K&amp;" "&amp;L2:L&amp;" "&amp;M2:M&amp;" "&amp;N2:N)," ","+")&amp;"&amp;_sacat=0&amp;LH_Sold=1&amp;LH_Complete=1&amp;_ipg=100","sold")))</f>
        <v/>
      </c>
    </row>
    <row r="3">
      <c r="C3" s="17" t="n"/>
      <c r="Y3" s="18" t="n"/>
      <c r="Z3" s="18" t="n"/>
      <c r="AA3" s="18" t="n"/>
      <c r="AB3" s="18" t="n"/>
      <c r="AC3" s="18" t="n"/>
      <c r="AD3" s="19" t="n"/>
    </row>
    <row r="4">
      <c r="C4" s="17" t="n"/>
      <c r="Y4" s="18" t="n"/>
      <c r="Z4" s="18" t="n"/>
      <c r="AA4" s="18" t="n"/>
      <c r="AB4" s="18" t="n"/>
      <c r="AC4" s="18" t="n"/>
      <c r="AD4" s="19" t="n"/>
    </row>
    <row r="5">
      <c r="C5" s="17" t="n"/>
      <c r="Y5" s="18" t="n"/>
      <c r="Z5" s="18" t="n"/>
      <c r="AA5" s="18" t="n"/>
      <c r="AB5" s="18" t="n"/>
      <c r="AC5" s="18" t="n"/>
      <c r="AD5" s="19" t="n"/>
    </row>
    <row r="6">
      <c r="C6" s="17" t="n"/>
      <c r="Y6" s="18" t="n"/>
      <c r="Z6" s="18" t="n"/>
      <c r="AA6" s="18" t="n"/>
      <c r="AB6" s="18" t="n"/>
      <c r="AC6" s="18" t="n"/>
      <c r="AD6" s="19" t="n"/>
    </row>
    <row r="7">
      <c r="C7" s="17" t="n"/>
      <c r="Y7" s="18" t="n"/>
      <c r="Z7" s="18" t="n"/>
      <c r="AA7" s="18" t="n"/>
      <c r="AB7" s="18" t="n"/>
      <c r="AC7" s="18" t="n"/>
      <c r="AD7" s="19" t="n"/>
    </row>
    <row r="8">
      <c r="C8" s="17" t="n"/>
      <c r="Y8" s="18" t="n"/>
      <c r="Z8" s="18" t="n"/>
      <c r="AA8" s="18" t="n"/>
      <c r="AB8" s="18" t="n"/>
      <c r="AC8" s="18" t="n"/>
      <c r="AD8" s="19" t="n"/>
    </row>
    <row r="9">
      <c r="C9" s="17" t="n"/>
      <c r="Y9" s="18" t="n"/>
      <c r="Z9" s="18" t="n"/>
      <c r="AA9" s="18" t="n"/>
      <c r="AB9" s="18" t="n"/>
      <c r="AC9" s="18" t="n"/>
      <c r="AD9" s="19" t="n"/>
    </row>
    <row r="10">
      <c r="C10" s="17" t="n"/>
      <c r="Y10" s="18" t="n"/>
      <c r="Z10" s="18" t="n"/>
      <c r="AA10" s="18" t="n"/>
      <c r="AB10" s="18" t="n"/>
      <c r="AC10" s="18" t="n"/>
      <c r="AD10" s="19" t="n"/>
    </row>
    <row r="11">
      <c r="C11" s="17" t="n"/>
      <c r="Y11" s="18" t="n"/>
      <c r="Z11" s="18" t="n"/>
      <c r="AA11" s="18" t="n"/>
      <c r="AB11" s="18" t="n"/>
      <c r="AC11" s="18" t="n"/>
      <c r="AD11" s="19" t="n"/>
    </row>
    <row r="12">
      <c r="C12" s="17" t="n"/>
      <c r="Y12" s="18" t="n"/>
      <c r="Z12" s="18" t="n"/>
      <c r="AA12" s="18" t="n"/>
      <c r="AB12" s="18" t="n"/>
      <c r="AC12" s="18" t="n"/>
      <c r="AD12" s="19" t="n"/>
    </row>
    <row r="13">
      <c r="C13" s="17" t="n"/>
      <c r="Y13" s="18" t="n"/>
      <c r="Z13" s="18" t="n"/>
      <c r="AA13" s="18" t="n"/>
      <c r="AB13" s="18" t="n"/>
      <c r="AC13" s="18" t="n"/>
      <c r="AD13" s="19" t="n"/>
    </row>
    <row r="14">
      <c r="C14" s="17" t="n"/>
      <c r="Y14" s="18" t="n"/>
      <c r="Z14" s="18" t="n"/>
      <c r="AA14" s="18" t="n"/>
      <c r="AB14" s="18" t="n"/>
      <c r="AC14" s="18" t="n"/>
      <c r="AD14" s="19" t="n"/>
    </row>
    <row r="15">
      <c r="C15" s="17" t="n"/>
      <c r="Y15" s="18" t="n"/>
      <c r="Z15" s="18" t="n"/>
      <c r="AA15" s="18" t="n"/>
      <c r="AB15" s="18" t="n"/>
      <c r="AC15" s="18" t="n"/>
      <c r="AD15" s="19" t="n"/>
    </row>
    <row r="16">
      <c r="C16" s="17" t="n"/>
      <c r="Y16" s="18" t="n"/>
      <c r="Z16" s="18" t="n"/>
      <c r="AA16" s="18" t="n"/>
      <c r="AB16" s="18" t="n"/>
      <c r="AC16" s="18" t="n"/>
      <c r="AD16" s="19" t="n"/>
    </row>
    <row r="17">
      <c r="C17" s="17" t="n"/>
      <c r="Y17" s="18" t="n"/>
      <c r="Z17" s="18" t="n"/>
      <c r="AA17" s="18" t="n"/>
      <c r="AB17" s="18" t="n"/>
      <c r="AC17" s="18" t="n"/>
      <c r="AD17" s="19" t="n"/>
    </row>
    <row r="18">
      <c r="C18" s="17" t="n"/>
      <c r="Y18" s="18" t="n"/>
      <c r="Z18" s="18" t="n"/>
      <c r="AA18" s="18" t="n"/>
      <c r="AB18" s="18" t="n"/>
      <c r="AC18" s="18" t="n"/>
      <c r="AD18" s="19" t="n"/>
    </row>
    <row r="19">
      <c r="C19" s="17" t="n"/>
      <c r="Y19" s="18" t="n"/>
      <c r="Z19" s="18" t="n"/>
      <c r="AA19" s="18" t="n"/>
      <c r="AB19" s="18" t="n"/>
      <c r="AC19" s="18" t="n"/>
      <c r="AD19" s="19" t="n"/>
    </row>
    <row r="20">
      <c r="C20" s="17" t="n"/>
      <c r="Y20" s="18" t="n"/>
      <c r="Z20" s="18" t="n"/>
      <c r="AA20" s="18" t="n"/>
      <c r="AB20" s="18" t="n"/>
      <c r="AC20" s="18" t="n"/>
      <c r="AD20" s="19" t="n"/>
    </row>
    <row r="21">
      <c r="C21" s="17" t="n"/>
      <c r="Y21" s="18" t="n"/>
      <c r="Z21" s="18" t="n"/>
      <c r="AA21" s="18" t="n"/>
      <c r="AB21" s="18" t="n"/>
      <c r="AC21" s="18" t="n"/>
      <c r="AD21" s="19" t="n"/>
    </row>
    <row r="22">
      <c r="C22" s="17" t="n"/>
      <c r="Y22" s="18" t="n"/>
      <c r="Z22" s="18" t="n"/>
      <c r="AA22" s="18" t="n"/>
      <c r="AB22" s="18" t="n"/>
      <c r="AC22" s="18" t="n"/>
      <c r="AD22" s="19" t="n"/>
    </row>
    <row r="23">
      <c r="C23" s="17" t="n"/>
      <c r="Y23" s="18" t="n"/>
      <c r="Z23" s="18" t="n"/>
      <c r="AA23" s="18" t="n"/>
      <c r="AB23" s="18" t="n"/>
      <c r="AC23" s="18" t="n"/>
      <c r="AD23" s="19" t="n"/>
    </row>
    <row r="24">
      <c r="C24" s="17" t="n"/>
      <c r="Y24" s="18" t="n"/>
      <c r="Z24" s="18" t="n"/>
      <c r="AA24" s="18" t="n"/>
      <c r="AB24" s="18" t="n"/>
      <c r="AC24" s="18" t="n"/>
      <c r="AD24" s="19" t="n"/>
    </row>
    <row r="25">
      <c r="C25" s="17" t="n"/>
      <c r="Y25" s="18" t="n"/>
      <c r="Z25" s="18" t="n"/>
      <c r="AA25" s="18" t="n"/>
      <c r="AB25" s="18" t="n"/>
      <c r="AC25" s="18" t="n"/>
      <c r="AD25" s="19" t="n"/>
    </row>
    <row r="26">
      <c r="C26" s="17" t="n"/>
      <c r="Y26" s="18" t="n"/>
      <c r="Z26" s="18" t="n"/>
      <c r="AA26" s="18" t="n"/>
      <c r="AB26" s="18" t="n"/>
      <c r="AC26" s="18" t="n"/>
      <c r="AD26" s="19" t="n"/>
    </row>
    <row r="27">
      <c r="C27" s="17" t="n"/>
      <c r="Y27" s="18" t="n"/>
      <c r="Z27" s="18" t="n"/>
      <c r="AA27" s="18" t="n"/>
      <c r="AB27" s="18" t="n"/>
      <c r="AC27" s="18" t="n"/>
      <c r="AD27" s="19" t="n"/>
    </row>
    <row r="28">
      <c r="C28" s="17" t="n"/>
      <c r="Y28" s="18" t="n"/>
      <c r="Z28" s="18" t="n"/>
      <c r="AA28" s="18" t="n"/>
      <c r="AB28" s="18" t="n"/>
      <c r="AC28" s="18" t="n"/>
      <c r="AD28" s="19" t="n"/>
    </row>
    <row r="29">
      <c r="C29" s="17" t="n"/>
      <c r="Y29" s="18" t="n"/>
      <c r="Z29" s="18" t="n"/>
      <c r="AA29" s="18" t="n"/>
      <c r="AB29" s="18" t="n"/>
      <c r="AC29" s="18" t="n"/>
      <c r="AD29" s="19" t="n"/>
    </row>
    <row r="30">
      <c r="C30" s="17" t="n"/>
      <c r="Y30" s="18" t="n"/>
      <c r="Z30" s="18" t="n"/>
      <c r="AA30" s="18" t="n"/>
      <c r="AB30" s="18" t="n"/>
      <c r="AC30" s="18" t="n"/>
      <c r="AD30" s="19" t="n"/>
    </row>
    <row r="31">
      <c r="C31" s="17" t="n"/>
      <c r="Y31" s="18" t="n"/>
      <c r="Z31" s="18" t="n"/>
      <c r="AA31" s="18" t="n"/>
      <c r="AB31" s="18" t="n"/>
      <c r="AC31" s="18" t="n"/>
      <c r="AD31" s="19" t="n"/>
    </row>
    <row r="32">
      <c r="C32" s="17" t="n"/>
      <c r="Y32" s="18" t="n"/>
      <c r="Z32" s="18" t="n"/>
      <c r="AA32" s="18" t="n"/>
      <c r="AB32" s="18" t="n"/>
      <c r="AC32" s="18" t="n"/>
      <c r="AD32" s="19" t="n"/>
    </row>
    <row r="33">
      <c r="C33" s="17" t="n"/>
      <c r="Y33" s="18" t="n"/>
      <c r="Z33" s="18" t="n"/>
      <c r="AA33" s="18" t="n"/>
      <c r="AB33" s="18" t="n"/>
      <c r="AC33" s="18" t="n"/>
      <c r="AD33" s="19" t="n"/>
    </row>
    <row r="34">
      <c r="C34" s="17" t="n"/>
      <c r="Y34" s="18" t="n"/>
      <c r="Z34" s="18" t="n"/>
      <c r="AA34" s="18" t="n"/>
      <c r="AB34" s="18" t="n"/>
      <c r="AC34" s="18" t="n"/>
      <c r="AD34" s="19" t="n"/>
    </row>
    <row r="35">
      <c r="C35" s="17" t="n"/>
      <c r="Y35" s="18" t="n"/>
      <c r="Z35" s="18" t="n"/>
      <c r="AA35" s="18" t="n"/>
      <c r="AB35" s="18" t="n"/>
      <c r="AC35" s="18" t="n"/>
      <c r="AD35" s="19" t="n"/>
    </row>
    <row r="36">
      <c r="C36" s="17" t="n"/>
      <c r="Y36" s="18" t="n"/>
      <c r="Z36" s="18" t="n"/>
      <c r="AA36" s="18" t="n"/>
      <c r="AB36" s="18" t="n"/>
      <c r="AC36" s="18" t="n"/>
      <c r="AD36" s="19" t="n"/>
    </row>
    <row r="37">
      <c r="C37" s="17" t="n"/>
      <c r="Y37" s="18" t="n"/>
      <c r="Z37" s="18" t="n"/>
      <c r="AA37" s="18" t="n"/>
      <c r="AB37" s="18" t="n"/>
      <c r="AC37" s="18" t="n"/>
      <c r="AD37" s="19" t="n"/>
    </row>
    <row r="38">
      <c r="C38" s="17" t="n"/>
      <c r="Y38" s="18" t="n"/>
      <c r="Z38" s="18" t="n"/>
      <c r="AA38" s="18" t="n"/>
      <c r="AB38" s="18" t="n"/>
      <c r="AC38" s="18" t="n"/>
      <c r="AD38" s="19" t="n"/>
    </row>
    <row r="39">
      <c r="C39" s="17" t="n"/>
      <c r="Y39" s="18" t="n"/>
      <c r="Z39" s="18" t="n"/>
      <c r="AA39" s="18" t="n"/>
      <c r="AB39" s="18" t="n"/>
      <c r="AC39" s="18" t="n"/>
      <c r="AD39" s="19" t="n"/>
    </row>
    <row r="40">
      <c r="C40" s="17" t="n"/>
      <c r="Y40" s="18" t="n"/>
      <c r="Z40" s="18" t="n"/>
      <c r="AA40" s="18" t="n"/>
      <c r="AB40" s="18" t="n"/>
      <c r="AC40" s="18" t="n"/>
      <c r="AD40" s="19" t="n"/>
    </row>
    <row r="41">
      <c r="C41" s="17" t="n"/>
      <c r="Y41" s="18" t="n"/>
      <c r="Z41" s="18" t="n"/>
      <c r="AA41" s="18" t="n"/>
      <c r="AB41" s="18" t="n"/>
      <c r="AC41" s="18" t="n"/>
      <c r="AD41" s="19" t="n"/>
    </row>
    <row r="42">
      <c r="C42" s="17" t="n"/>
      <c r="Y42" s="18" t="n"/>
      <c r="Z42" s="18" t="n"/>
      <c r="AA42" s="18" t="n"/>
      <c r="AB42" s="18" t="n"/>
      <c r="AC42" s="18" t="n"/>
      <c r="AD42" s="19" t="n"/>
    </row>
    <row r="43">
      <c r="C43" s="17" t="n"/>
      <c r="Y43" s="18" t="n"/>
      <c r="Z43" s="18" t="n"/>
      <c r="AA43" s="18" t="n"/>
      <c r="AB43" s="18" t="n"/>
      <c r="AC43" s="18" t="n"/>
      <c r="AD43" s="19" t="n"/>
    </row>
    <row r="44">
      <c r="C44" s="17" t="n"/>
      <c r="Y44" s="18" t="n"/>
      <c r="Z44" s="18" t="n"/>
      <c r="AA44" s="18" t="n"/>
      <c r="AB44" s="18" t="n"/>
      <c r="AC44" s="18" t="n"/>
      <c r="AD44" s="19" t="n"/>
    </row>
    <row r="45">
      <c r="C45" s="17" t="n"/>
      <c r="Y45" s="18" t="n"/>
      <c r="Z45" s="18" t="n"/>
      <c r="AA45" s="18" t="n"/>
      <c r="AB45" s="18" t="n"/>
      <c r="AC45" s="18" t="n"/>
      <c r="AD45" s="19" t="n"/>
    </row>
    <row r="46">
      <c r="C46" s="17" t="n"/>
      <c r="Y46" s="18" t="n"/>
      <c r="Z46" s="18" t="n"/>
      <c r="AA46" s="18" t="n"/>
      <c r="AB46" s="18" t="n"/>
      <c r="AC46" s="18" t="n"/>
      <c r="AD46" s="19" t="n"/>
    </row>
    <row r="47">
      <c r="C47" s="17" t="n"/>
      <c r="Y47" s="18" t="n"/>
      <c r="Z47" s="18" t="n"/>
      <c r="AA47" s="18" t="n"/>
      <c r="AB47" s="18" t="n"/>
      <c r="AC47" s="18" t="n"/>
      <c r="AD47" s="19" t="n"/>
    </row>
    <row r="48">
      <c r="C48" s="17" t="n"/>
      <c r="Y48" s="18" t="n"/>
      <c r="Z48" s="18" t="n"/>
      <c r="AA48" s="18" t="n"/>
      <c r="AB48" s="18" t="n"/>
      <c r="AC48" s="18" t="n"/>
      <c r="AD48" s="19" t="n"/>
    </row>
    <row r="49">
      <c r="C49" s="17" t="n"/>
      <c r="Y49" s="18" t="n"/>
      <c r="Z49" s="18" t="n"/>
      <c r="AA49" s="18" t="n"/>
      <c r="AB49" s="18" t="n"/>
      <c r="AC49" s="18" t="n"/>
      <c r="AD49" s="19" t="n"/>
    </row>
    <row r="50">
      <c r="C50" s="17" t="n"/>
      <c r="Y50" s="18" t="n"/>
      <c r="Z50" s="18" t="n"/>
      <c r="AA50" s="18" t="n"/>
      <c r="AB50" s="18" t="n"/>
      <c r="AC50" s="18" t="n"/>
      <c r="AD50" s="19" t="n"/>
    </row>
    <row r="51">
      <c r="C51" s="17" t="n"/>
      <c r="Y51" s="18" t="n"/>
      <c r="Z51" s="18" t="n"/>
      <c r="AA51" s="18" t="n"/>
      <c r="AB51" s="18" t="n"/>
      <c r="AC51" s="18" t="n"/>
      <c r="AD51" s="19" t="n"/>
    </row>
    <row r="52">
      <c r="C52" s="17" t="n"/>
      <c r="Y52" s="18" t="n"/>
      <c r="Z52" s="18" t="n"/>
      <c r="AA52" s="18" t="n"/>
      <c r="AB52" s="18" t="n"/>
      <c r="AC52" s="18" t="n"/>
      <c r="AD52" s="19" t="n"/>
    </row>
    <row r="53">
      <c r="C53" s="17" t="n"/>
      <c r="Y53" s="18" t="n"/>
      <c r="Z53" s="18" t="n"/>
      <c r="AA53" s="18" t="n"/>
      <c r="AB53" s="18" t="n"/>
      <c r="AC53" s="18" t="n"/>
      <c r="AD53" s="19" t="n"/>
    </row>
    <row r="54">
      <c r="C54" s="17" t="n"/>
      <c r="Y54" s="18" t="n"/>
      <c r="Z54" s="18" t="n"/>
      <c r="AA54" s="18" t="n"/>
      <c r="AB54" s="18" t="n"/>
      <c r="AC54" s="18" t="n"/>
      <c r="AD54" s="19" t="n"/>
    </row>
    <row r="55">
      <c r="C55" s="17" t="n"/>
      <c r="Y55" s="18" t="n"/>
      <c r="Z55" s="18" t="n"/>
      <c r="AA55" s="18" t="n"/>
      <c r="AB55" s="18" t="n"/>
      <c r="AC55" s="18" t="n"/>
      <c r="AD55" s="19" t="n"/>
    </row>
    <row r="56">
      <c r="C56" s="17" t="n"/>
      <c r="Y56" s="18" t="n"/>
      <c r="Z56" s="18" t="n"/>
      <c r="AA56" s="18" t="n"/>
      <c r="AB56" s="18" t="n"/>
      <c r="AC56" s="18" t="n"/>
      <c r="AD56" s="19" t="n"/>
    </row>
    <row r="57">
      <c r="C57" s="17" t="n"/>
      <c r="Y57" s="18" t="n"/>
      <c r="Z57" s="18" t="n"/>
      <c r="AA57" s="18" t="n"/>
      <c r="AB57" s="18" t="n"/>
      <c r="AC57" s="18" t="n"/>
      <c r="AD57" s="19" t="n"/>
    </row>
    <row r="58">
      <c r="C58" s="17" t="n"/>
      <c r="Y58" s="18" t="n"/>
      <c r="Z58" s="18" t="n"/>
      <c r="AA58" s="18" t="n"/>
      <c r="AB58" s="18" t="n"/>
      <c r="AC58" s="18" t="n"/>
      <c r="AD58" s="19" t="n"/>
    </row>
    <row r="59">
      <c r="C59" s="17" t="n"/>
      <c r="Y59" s="18" t="n"/>
      <c r="Z59" s="18" t="n"/>
      <c r="AA59" s="18" t="n"/>
      <c r="AB59" s="18" t="n"/>
      <c r="AC59" s="18" t="n"/>
      <c r="AD59" s="19" t="n"/>
    </row>
    <row r="60">
      <c r="C60" s="17" t="n"/>
      <c r="Y60" s="18" t="n"/>
      <c r="Z60" s="18" t="n"/>
      <c r="AA60" s="18" t="n"/>
      <c r="AB60" s="18" t="n"/>
      <c r="AC60" s="18" t="n"/>
      <c r="AD60" s="19" t="n"/>
    </row>
    <row r="61">
      <c r="C61" s="17" t="n"/>
      <c r="Y61" s="18" t="n"/>
      <c r="Z61" s="18" t="n"/>
      <c r="AA61" s="18" t="n"/>
      <c r="AB61" s="18" t="n"/>
      <c r="AC61" s="18" t="n"/>
      <c r="AD61" s="19" t="n"/>
    </row>
  </sheetData>
  <autoFilter ref="A1:AH61"/>
  <conditionalFormatting sqref="AF2:AF61">
    <cfRule type="cellIs" priority="1" operator="greaterThan" dxfId="0">
      <formula>80</formula>
    </cfRule>
    <cfRule type="cellIs" priority="2" operator="between" dxfId="1">
      <formula>1</formula>
      <formula>80</formula>
    </cfRule>
  </conditionalFormatting>
  <conditionalFormatting sqref="AD2:AD61">
    <cfRule type="cellIs" priority="3" operator="lessThan" dxfId="2">
      <formula>0</formula>
    </cfRule>
  </conditionalFormatting>
  <dataValidations count="8">
    <dataValidation sqref="B2:B61" showDropDown="0" showInputMessage="0" showErrorMessage="0" allowBlank="1" type="list">
      <formula1>"Unlisted,Review,Listed,Sold,Kept,At COMC,Bulk"</formula1>
    </dataValidation>
    <dataValidation sqref="F2:F61" showDropDown="0" showInputMessage="0" showErrorMessage="0" allowBlank="1" type="list">
      <formula1>"Sports,TCG,Non-sport"</formula1>
    </dataValidation>
    <dataValidation sqref="H2:H61" showDropDown="0" showInputMessage="0" showErrorMessage="0" allowBlank="1" type="list">
      <formula1>"NCAA,NFL,NBA,MLB,NHL,MLS,WWE,UFC"</formula1>
    </dataValidation>
    <dataValidation sqref="Q2:Q61" showDropDown="0" showInputMessage="0" showErrorMessage="0" allowBlank="1" type="list">
      <formula1>"Yes,No"</formula1>
    </dataValidation>
    <dataValidation sqref="R2:R61" showDropDown="0" showInputMessage="0" showErrorMessage="0" allowBlank="1" type="list">
      <formula1>"Yes,No"</formula1>
    </dataValidation>
    <dataValidation sqref="S2:S61" showDropDown="0" showInputMessage="0" showErrorMessage="0" allowBlank="1" type="list">
      <formula1>"Yes,No"</formula1>
    </dataValidation>
    <dataValidation sqref="W2:W61" showDropDown="0" showInputMessage="0" showErrorMessage="0" allowBlank="1" type="list">
      <formula1>"Near Mint or Better,Excellent,Very Good,Poor"</formula1>
    </dataValidation>
    <dataValidation sqref="T2:T61" showDropDown="0" showInputMessage="0" showErrorMessage="0" allowBlank="1" type="list">
      <formula1>=Lists!$A$2:$A$8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Generated -- do not type here</t>
        </is>
      </c>
    </row>
    <row r="2">
      <c r="A2" s="5" t="inlineStr">
        <is>
          <t>Run  python make_ebay_csv.py  and this tab is rebuilt from the Inventory rows marked Unlisted, alongside the CSV that gets uploaded.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12" customWidth="1" min="4" max="4"/>
    <col width="40" customWidth="1" min="5" max="5"/>
    <col width="15" customWidth="1" min="6" max="6"/>
    <col width="11" customWidth="1" min="7" max="7"/>
    <col width="6" customWidth="1" min="8" max="8"/>
    <col width="11" customWidth="1" min="9" max="9"/>
    <col width="11" customWidth="1" min="10" max="10"/>
    <col width="9" customWidth="1" min="11" max="11"/>
    <col width="10" customWidth="1" min="12" max="12"/>
    <col width="12" customWidth="1" min="13" max="13"/>
    <col width="14" customWidth="1" min="14" max="14"/>
    <col width="20" customWidth="1" min="15" max="15"/>
    <col width="24" customWidth="1" min="16" max="16"/>
    <col width="34" customWidth="1" min="17" max="17"/>
  </cols>
  <sheetData>
    <row r="1" ht="30" customHeight="1">
      <c r="A1" s="16" t="inlineStr">
        <is>
          <t>Purchase ID</t>
        </is>
      </c>
      <c r="B1" s="16" t="inlineStr">
        <is>
          <t>Date</t>
        </is>
      </c>
      <c r="C1" s="16" t="inlineStr">
        <is>
          <t>Vendor / store</t>
        </is>
      </c>
      <c r="D1" s="16" t="inlineStr">
        <is>
          <t>Bought</t>
        </is>
      </c>
      <c r="E1" s="16" t="inlineStr">
        <is>
          <t>What</t>
        </is>
      </c>
      <c r="F1" s="16" t="inlineStr">
        <is>
          <t>Type</t>
        </is>
      </c>
      <c r="G1" s="16" t="inlineStr">
        <is>
          <t>Lot ID</t>
        </is>
      </c>
      <c r="H1" s="16" t="inlineStr">
        <is>
          <t>Qty</t>
        </is>
      </c>
      <c r="I1" s="16" t="inlineStr">
        <is>
          <t>Unit price</t>
        </is>
      </c>
      <c r="J1" s="16" t="inlineStr">
        <is>
          <t>Subtotal</t>
        </is>
      </c>
      <c r="K1" s="16" t="inlineStr">
        <is>
          <t>Tax</t>
        </is>
      </c>
      <c r="L1" s="16" t="inlineStr">
        <is>
          <t>Shipping</t>
        </is>
      </c>
      <c r="M1" s="16" t="inlineStr">
        <is>
          <t>Total paid</t>
        </is>
      </c>
      <c r="N1" s="16" t="inlineStr">
        <is>
          <t>Paid with</t>
        </is>
      </c>
      <c r="O1" s="16" t="inlineStr">
        <is>
          <t>Order / receipt #</t>
        </is>
      </c>
      <c r="P1" s="16" t="inlineStr">
        <is>
          <t>Receipt file</t>
        </is>
      </c>
      <c r="Q1" s="16" t="inlineStr">
        <is>
          <t>Notes</t>
        </is>
      </c>
    </row>
    <row r="2">
      <c r="B2" s="17" t="n"/>
      <c r="I2" s="18" t="n"/>
      <c r="J2" s="18">
        <f>ARRAYFORMULA(IF(H2:H="","",H2:H*I2:I))</f>
        <v/>
      </c>
      <c r="K2" s="18" t="n"/>
      <c r="L2" s="18" t="n"/>
      <c r="M2" s="18">
        <f>ARRAYFORMULA(IF(J2:J="","",N(J2:J)+N(K2:K)+N(L2:L)))</f>
        <v/>
      </c>
    </row>
    <row r="3">
      <c r="B3" s="17" t="n"/>
      <c r="I3" s="18" t="n"/>
      <c r="J3" s="18" t="n"/>
      <c r="K3" s="18" t="n"/>
      <c r="L3" s="18" t="n"/>
      <c r="M3" s="18" t="n"/>
    </row>
    <row r="4">
      <c r="B4" s="17" t="n"/>
      <c r="I4" s="18" t="n"/>
      <c r="J4" s="18" t="n"/>
      <c r="K4" s="18" t="n"/>
      <c r="L4" s="18" t="n"/>
      <c r="M4" s="18" t="n"/>
    </row>
    <row r="5">
      <c r="B5" s="17" t="n"/>
      <c r="I5" s="18" t="n"/>
      <c r="J5" s="18" t="n"/>
      <c r="K5" s="18" t="n"/>
      <c r="L5" s="18" t="n"/>
      <c r="M5" s="18" t="n"/>
    </row>
    <row r="6">
      <c r="B6" s="17" t="n"/>
      <c r="I6" s="18" t="n"/>
      <c r="J6" s="18" t="n"/>
      <c r="K6" s="18" t="n"/>
      <c r="L6" s="18" t="n"/>
      <c r="M6" s="18" t="n"/>
    </row>
    <row r="7">
      <c r="B7" s="17" t="n"/>
      <c r="I7" s="18" t="n"/>
      <c r="J7" s="18" t="n"/>
      <c r="K7" s="18" t="n"/>
      <c r="L7" s="18" t="n"/>
      <c r="M7" s="18" t="n"/>
    </row>
    <row r="8">
      <c r="B8" s="17" t="n"/>
      <c r="I8" s="18" t="n"/>
      <c r="J8" s="18" t="n"/>
      <c r="K8" s="18" t="n"/>
      <c r="L8" s="18" t="n"/>
      <c r="M8" s="18" t="n"/>
    </row>
    <row r="9">
      <c r="B9" s="17" t="n"/>
      <c r="I9" s="18" t="n"/>
      <c r="J9" s="18" t="n"/>
      <c r="K9" s="18" t="n"/>
      <c r="L9" s="18" t="n"/>
      <c r="M9" s="18" t="n"/>
    </row>
    <row r="10">
      <c r="B10" s="17" t="n"/>
      <c r="I10" s="18" t="n"/>
      <c r="J10" s="18" t="n"/>
      <c r="K10" s="18" t="n"/>
      <c r="L10" s="18" t="n"/>
      <c r="M10" s="18" t="n"/>
    </row>
    <row r="11">
      <c r="B11" s="17" t="n"/>
      <c r="I11" s="18" t="n"/>
      <c r="J11" s="18" t="n"/>
      <c r="K11" s="18" t="n"/>
      <c r="L11" s="18" t="n"/>
      <c r="M11" s="18" t="n"/>
    </row>
    <row r="12">
      <c r="B12" s="17" t="n"/>
      <c r="I12" s="18" t="n"/>
      <c r="J12" s="18" t="n"/>
      <c r="K12" s="18" t="n"/>
      <c r="L12" s="18" t="n"/>
      <c r="M12" s="18" t="n"/>
    </row>
    <row r="13">
      <c r="B13" s="17" t="n"/>
      <c r="I13" s="18" t="n"/>
      <c r="J13" s="18" t="n"/>
      <c r="K13" s="18" t="n"/>
      <c r="L13" s="18" t="n"/>
      <c r="M13" s="18" t="n"/>
    </row>
    <row r="14">
      <c r="B14" s="17" t="n"/>
      <c r="I14" s="18" t="n"/>
      <c r="J14" s="18" t="n"/>
      <c r="K14" s="18" t="n"/>
      <c r="L14" s="18" t="n"/>
      <c r="M14" s="18" t="n"/>
    </row>
    <row r="15">
      <c r="B15" s="17" t="n"/>
      <c r="I15" s="18" t="n"/>
      <c r="J15" s="18" t="n"/>
      <c r="K15" s="18" t="n"/>
      <c r="L15" s="18" t="n"/>
      <c r="M15" s="18" t="n"/>
    </row>
    <row r="16">
      <c r="B16" s="17" t="n"/>
      <c r="I16" s="18" t="n"/>
      <c r="J16" s="18" t="n"/>
      <c r="K16" s="18" t="n"/>
      <c r="L16" s="18" t="n"/>
      <c r="M16" s="18" t="n"/>
    </row>
    <row r="17">
      <c r="B17" s="17" t="n"/>
      <c r="I17" s="18" t="n"/>
      <c r="J17" s="18" t="n"/>
      <c r="K17" s="18" t="n"/>
      <c r="L17" s="18" t="n"/>
      <c r="M17" s="18" t="n"/>
    </row>
    <row r="18">
      <c r="B18" s="17" t="n"/>
      <c r="I18" s="18" t="n"/>
      <c r="J18" s="18" t="n"/>
      <c r="K18" s="18" t="n"/>
      <c r="L18" s="18" t="n"/>
      <c r="M18" s="18" t="n"/>
    </row>
    <row r="19">
      <c r="B19" s="17" t="n"/>
      <c r="I19" s="18" t="n"/>
      <c r="J19" s="18" t="n"/>
      <c r="K19" s="18" t="n"/>
      <c r="L19" s="18" t="n"/>
      <c r="M19" s="18" t="n"/>
    </row>
    <row r="20">
      <c r="B20" s="17" t="n"/>
      <c r="I20" s="18" t="n"/>
      <c r="J20" s="18" t="n"/>
      <c r="K20" s="18" t="n"/>
      <c r="L20" s="18" t="n"/>
      <c r="M20" s="18" t="n"/>
    </row>
    <row r="21">
      <c r="B21" s="17" t="n"/>
      <c r="I21" s="18" t="n"/>
      <c r="J21" s="18" t="n"/>
      <c r="K21" s="18" t="n"/>
      <c r="L21" s="18" t="n"/>
      <c r="M21" s="18" t="n"/>
    </row>
    <row r="22">
      <c r="B22" s="17" t="n"/>
      <c r="I22" s="18" t="n"/>
      <c r="J22" s="18" t="n"/>
      <c r="K22" s="18" t="n"/>
      <c r="L22" s="18" t="n"/>
      <c r="M22" s="18" t="n"/>
    </row>
    <row r="23">
      <c r="B23" s="17" t="n"/>
      <c r="I23" s="18" t="n"/>
      <c r="J23" s="18" t="n"/>
      <c r="K23" s="18" t="n"/>
      <c r="L23" s="18" t="n"/>
      <c r="M23" s="18" t="n"/>
    </row>
    <row r="24">
      <c r="B24" s="17" t="n"/>
      <c r="I24" s="18" t="n"/>
      <c r="J24" s="18" t="n"/>
      <c r="K24" s="18" t="n"/>
      <c r="L24" s="18" t="n"/>
      <c r="M24" s="18" t="n"/>
    </row>
    <row r="25">
      <c r="B25" s="17" t="n"/>
      <c r="I25" s="18" t="n"/>
      <c r="J25" s="18" t="n"/>
      <c r="K25" s="18" t="n"/>
      <c r="L25" s="18" t="n"/>
      <c r="M25" s="18" t="n"/>
    </row>
    <row r="26">
      <c r="B26" s="17" t="n"/>
      <c r="I26" s="18" t="n"/>
      <c r="J26" s="18" t="n"/>
      <c r="K26" s="18" t="n"/>
      <c r="L26" s="18" t="n"/>
      <c r="M26" s="18" t="n"/>
    </row>
    <row r="27">
      <c r="B27" s="17" t="n"/>
      <c r="I27" s="18" t="n"/>
      <c r="J27" s="18" t="n"/>
      <c r="K27" s="18" t="n"/>
      <c r="L27" s="18" t="n"/>
      <c r="M27" s="18" t="n"/>
    </row>
    <row r="28">
      <c r="B28" s="17" t="n"/>
      <c r="I28" s="18" t="n"/>
      <c r="J28" s="18" t="n"/>
      <c r="K28" s="18" t="n"/>
      <c r="L28" s="18" t="n"/>
      <c r="M28" s="18" t="n"/>
    </row>
    <row r="29">
      <c r="B29" s="17" t="n"/>
      <c r="I29" s="18" t="n"/>
      <c r="J29" s="18" t="n"/>
      <c r="K29" s="18" t="n"/>
      <c r="L29" s="18" t="n"/>
      <c r="M29" s="18" t="n"/>
    </row>
    <row r="30">
      <c r="B30" s="17" t="n"/>
      <c r="I30" s="18" t="n"/>
      <c r="J30" s="18" t="n"/>
      <c r="K30" s="18" t="n"/>
      <c r="L30" s="18" t="n"/>
      <c r="M30" s="18" t="n"/>
    </row>
    <row r="31">
      <c r="B31" s="17" t="n"/>
      <c r="I31" s="18" t="n"/>
      <c r="J31" s="18" t="n"/>
      <c r="K31" s="18" t="n"/>
      <c r="L31" s="18" t="n"/>
      <c r="M31" s="18" t="n"/>
    </row>
    <row r="32">
      <c r="B32" s="17" t="n"/>
      <c r="I32" s="18" t="n"/>
      <c r="J32" s="18" t="n"/>
      <c r="K32" s="18" t="n"/>
      <c r="L32" s="18" t="n"/>
      <c r="M32" s="18" t="n"/>
    </row>
    <row r="33">
      <c r="B33" s="17" t="n"/>
      <c r="I33" s="18" t="n"/>
      <c r="J33" s="18" t="n"/>
      <c r="K33" s="18" t="n"/>
      <c r="L33" s="18" t="n"/>
      <c r="M33" s="18" t="n"/>
    </row>
    <row r="34">
      <c r="B34" s="17" t="n"/>
      <c r="I34" s="18" t="n"/>
      <c r="J34" s="18" t="n"/>
      <c r="K34" s="18" t="n"/>
      <c r="L34" s="18" t="n"/>
      <c r="M34" s="18" t="n"/>
    </row>
    <row r="35">
      <c r="B35" s="17" t="n"/>
      <c r="I35" s="18" t="n"/>
      <c r="J35" s="18" t="n"/>
      <c r="K35" s="18" t="n"/>
      <c r="L35" s="18" t="n"/>
      <c r="M35" s="18" t="n"/>
    </row>
    <row r="36">
      <c r="B36" s="17" t="n"/>
      <c r="I36" s="18" t="n"/>
      <c r="J36" s="18" t="n"/>
      <c r="K36" s="18" t="n"/>
      <c r="L36" s="18" t="n"/>
      <c r="M36" s="18" t="n"/>
    </row>
    <row r="37">
      <c r="B37" s="17" t="n"/>
      <c r="I37" s="18" t="n"/>
      <c r="J37" s="18" t="n"/>
      <c r="K37" s="18" t="n"/>
      <c r="L37" s="18" t="n"/>
      <c r="M37" s="18" t="n"/>
    </row>
    <row r="38">
      <c r="B38" s="17" t="n"/>
      <c r="I38" s="18" t="n"/>
      <c r="J38" s="18" t="n"/>
      <c r="K38" s="18" t="n"/>
      <c r="L38" s="18" t="n"/>
      <c r="M38" s="18" t="n"/>
    </row>
    <row r="39">
      <c r="B39" s="17" t="n"/>
      <c r="I39" s="18" t="n"/>
      <c r="J39" s="18" t="n"/>
      <c r="K39" s="18" t="n"/>
      <c r="L39" s="18" t="n"/>
      <c r="M39" s="18" t="n"/>
    </row>
    <row r="40">
      <c r="B40" s="17" t="n"/>
      <c r="I40" s="18" t="n"/>
      <c r="J40" s="18" t="n"/>
      <c r="K40" s="18" t="n"/>
      <c r="L40" s="18" t="n"/>
      <c r="M40" s="18" t="n"/>
    </row>
    <row r="41">
      <c r="B41" s="17" t="n"/>
      <c r="I41" s="18" t="n"/>
      <c r="J41" s="18" t="n"/>
      <c r="K41" s="18" t="n"/>
      <c r="L41" s="18" t="n"/>
      <c r="M41" s="18" t="n"/>
    </row>
    <row r="42">
      <c r="B42" s="17" t="n"/>
      <c r="I42" s="18" t="n"/>
      <c r="J42" s="18" t="n"/>
      <c r="K42" s="18" t="n"/>
      <c r="L42" s="18" t="n"/>
      <c r="M42" s="18" t="n"/>
    </row>
    <row r="43">
      <c r="B43" s="17" t="n"/>
      <c r="I43" s="18" t="n"/>
      <c r="J43" s="18" t="n"/>
      <c r="K43" s="18" t="n"/>
      <c r="L43" s="18" t="n"/>
      <c r="M43" s="18" t="n"/>
    </row>
    <row r="44">
      <c r="B44" s="17" t="n"/>
      <c r="I44" s="18" t="n"/>
      <c r="J44" s="18" t="n"/>
      <c r="K44" s="18" t="n"/>
      <c r="L44" s="18" t="n"/>
      <c r="M44" s="18" t="n"/>
    </row>
    <row r="45">
      <c r="B45" s="17" t="n"/>
      <c r="I45" s="18" t="n"/>
      <c r="J45" s="18" t="n"/>
      <c r="K45" s="18" t="n"/>
      <c r="L45" s="18" t="n"/>
      <c r="M45" s="18" t="n"/>
    </row>
    <row r="46">
      <c r="B46" s="17" t="n"/>
      <c r="I46" s="18" t="n"/>
      <c r="J46" s="18" t="n"/>
      <c r="K46" s="18" t="n"/>
      <c r="L46" s="18" t="n"/>
      <c r="M46" s="18" t="n"/>
    </row>
    <row r="47">
      <c r="B47" s="17" t="n"/>
      <c r="I47" s="18" t="n"/>
      <c r="J47" s="18" t="n"/>
      <c r="K47" s="18" t="n"/>
      <c r="L47" s="18" t="n"/>
      <c r="M47" s="18" t="n"/>
    </row>
    <row r="48">
      <c r="B48" s="17" t="n"/>
      <c r="I48" s="18" t="n"/>
      <c r="J48" s="18" t="n"/>
      <c r="K48" s="18" t="n"/>
      <c r="L48" s="18" t="n"/>
      <c r="M48" s="18" t="n"/>
    </row>
    <row r="49">
      <c r="B49" s="17" t="n"/>
      <c r="I49" s="18" t="n"/>
      <c r="J49" s="18" t="n"/>
      <c r="K49" s="18" t="n"/>
      <c r="L49" s="18" t="n"/>
      <c r="M49" s="18" t="n"/>
    </row>
    <row r="50">
      <c r="B50" s="17" t="n"/>
      <c r="I50" s="18" t="n"/>
      <c r="J50" s="18" t="n"/>
      <c r="K50" s="18" t="n"/>
      <c r="L50" s="18" t="n"/>
      <c r="M50" s="18" t="n"/>
    </row>
    <row r="51">
      <c r="B51" s="17" t="n"/>
      <c r="I51" s="18" t="n"/>
      <c r="J51" s="18" t="n"/>
      <c r="K51" s="18" t="n"/>
      <c r="L51" s="18" t="n"/>
      <c r="M51" s="18" t="n"/>
    </row>
    <row r="52">
      <c r="B52" s="17" t="n"/>
      <c r="I52" s="18" t="n"/>
      <c r="J52" s="18" t="n"/>
      <c r="K52" s="18" t="n"/>
      <c r="L52" s="18" t="n"/>
      <c r="M52" s="18" t="n"/>
    </row>
    <row r="53">
      <c r="B53" s="17" t="n"/>
      <c r="I53" s="18" t="n"/>
      <c r="J53" s="18" t="n"/>
      <c r="K53" s="18" t="n"/>
      <c r="L53" s="18" t="n"/>
      <c r="M53" s="18" t="n"/>
    </row>
    <row r="54">
      <c r="B54" s="17" t="n"/>
      <c r="I54" s="18" t="n"/>
      <c r="J54" s="18" t="n"/>
      <c r="K54" s="18" t="n"/>
      <c r="L54" s="18" t="n"/>
      <c r="M54" s="18" t="n"/>
    </row>
    <row r="55">
      <c r="B55" s="17" t="n"/>
      <c r="I55" s="18" t="n"/>
      <c r="J55" s="18" t="n"/>
      <c r="K55" s="18" t="n"/>
      <c r="L55" s="18" t="n"/>
      <c r="M55" s="18" t="n"/>
    </row>
    <row r="56">
      <c r="B56" s="17" t="n"/>
      <c r="I56" s="18" t="n"/>
      <c r="J56" s="18" t="n"/>
      <c r="K56" s="18" t="n"/>
      <c r="L56" s="18" t="n"/>
      <c r="M56" s="18" t="n"/>
    </row>
    <row r="57">
      <c r="B57" s="17" t="n"/>
      <c r="I57" s="18" t="n"/>
      <c r="J57" s="18" t="n"/>
      <c r="K57" s="18" t="n"/>
      <c r="L57" s="18" t="n"/>
      <c r="M57" s="18" t="n"/>
    </row>
    <row r="58">
      <c r="B58" s="17" t="n"/>
      <c r="I58" s="18" t="n"/>
      <c r="J58" s="18" t="n"/>
      <c r="K58" s="18" t="n"/>
      <c r="L58" s="18" t="n"/>
      <c r="M58" s="18" t="n"/>
    </row>
    <row r="59">
      <c r="B59" s="17" t="n"/>
      <c r="I59" s="18" t="n"/>
      <c r="J59" s="18" t="n"/>
      <c r="K59" s="18" t="n"/>
      <c r="L59" s="18" t="n"/>
      <c r="M59" s="18" t="n"/>
    </row>
    <row r="60">
      <c r="B60" s="17" t="n"/>
      <c r="I60" s="18" t="n"/>
      <c r="J60" s="18" t="n"/>
      <c r="K60" s="18" t="n"/>
      <c r="L60" s="18" t="n"/>
      <c r="M60" s="18" t="n"/>
    </row>
    <row r="61">
      <c r="B61" s="17" t="n"/>
      <c r="I61" s="18" t="n"/>
      <c r="J61" s="18" t="n"/>
      <c r="K61" s="18" t="n"/>
      <c r="L61" s="18" t="n"/>
      <c r="M61" s="18" t="n"/>
    </row>
    <row r="63">
      <c r="A63" s="14" t="inlineStr">
        <is>
          <t>Everything you paid for, in one place.</t>
        </is>
      </c>
    </row>
    <row r="64">
      <c r="A64" s="8" t="inlineStr">
        <is>
          <t>Subtotal and Total paid work themselves out -- type Qty, Unit price, Tax and Shipping.
Lot ID ties a purchase to the cards that came out of it: put the same code on the Box log row and on every Inventory row from that box, and cost per card stops being a guess.
Receipt file is just the filename you saved the photo or PDF under, e.g. receipts/2026-08-15-target.jpg. Keep the file; the tax year will want it and eBay will want it if a buyer disputes a sale.
Supplies and postage go here too if you bought them as part of a trip; anything ongoing belongs on Expenses.</t>
        </is>
      </c>
    </row>
    <row r="65"/>
    <row r="66"/>
    <row r="67"/>
    <row r="68"/>
    <row r="69"/>
  </sheetData>
  <mergeCells count="1">
    <mergeCell ref="A64:H69"/>
  </mergeCells>
  <dataValidations count="3">
    <dataValidation sqref="F2:F61" showDropDown="0" showInputMessage="0" showErrorMessage="0" allowBlank="1" type="list">
      <formula1>"Sealed box,Sealed case,Pack,Single card,Bulk lot,Supplies,Postage,Other"</formula1>
    </dataValidation>
    <dataValidation sqref="D2:D61" showDropDown="0" showInputMessage="0" showErrorMessage="0" allowBlank="1" type="list">
      <formula1>"In store,Online,Show,Private"</formula1>
    </dataValidation>
    <dataValidation sqref="N2:N61" showDropDown="0" showInputMessage="0" showErrorMessage="0" allowBlank="1" type="list">
      <formula1>"Card,Cash,PayPal,Gift card,Other"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20" customWidth="1" min="4" max="4"/>
    <col width="20" customWidth="1" min="5" max="5"/>
    <col width="40" customWidth="1" min="6" max="6"/>
    <col width="6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34" customWidth="1" min="19" max="19"/>
  </cols>
  <sheetData>
    <row r="1" ht="30" customHeight="1">
      <c r="A1" s="16" t="inlineStr">
        <is>
          <t>Lot ID</t>
        </is>
      </c>
      <c r="B1" s="16" t="inlineStr">
        <is>
          <t>Date</t>
        </is>
      </c>
      <c r="C1" s="16" t="inlineStr">
        <is>
          <t>Time</t>
        </is>
      </c>
      <c r="D1" s="16" t="inlineStr">
        <is>
          <t>Store</t>
        </is>
      </c>
      <c r="E1" s="16" t="inlineStr">
        <is>
          <t>Location</t>
        </is>
      </c>
      <c r="F1" s="16" t="inlineStr">
        <is>
          <t>Product</t>
        </is>
      </c>
      <c r="G1" s="16" t="inlineStr">
        <is>
          <t>Qty</t>
        </is>
      </c>
      <c r="H1" s="16" t="inlineStr">
        <is>
          <t>Unit price</t>
        </is>
      </c>
      <c r="I1" s="16" t="inlineStr">
        <is>
          <t>Subtotal</t>
        </is>
      </c>
      <c r="J1" s="16" t="inlineStr">
        <is>
          <t>Tax</t>
        </is>
      </c>
      <c r="K1" s="16" t="inlineStr">
        <is>
          <t>Total paid</t>
        </is>
      </c>
      <c r="L1" s="16" t="inlineStr">
        <is>
          <t>List price</t>
        </is>
      </c>
      <c r="M1" s="16" t="inlineStr">
        <is>
          <t>Over / under list</t>
        </is>
      </c>
      <c r="N1" s="16" t="inlineStr">
        <is>
          <t>Cards pulled</t>
        </is>
      </c>
      <c r="O1" s="16" t="inlineStr">
        <is>
          <t>Cost per card</t>
        </is>
      </c>
      <c r="P1" s="16" t="inlineStr">
        <is>
          <t>Value pulled</t>
        </is>
      </c>
      <c r="Q1" s="16" t="inlineStr">
        <is>
          <t>Net vs cost</t>
        </is>
      </c>
      <c r="R1" s="16" t="inlineStr">
        <is>
          <t>Best hit</t>
        </is>
      </c>
      <c r="S1" s="16" t="inlineStr">
        <is>
          <t>Notes</t>
        </is>
      </c>
    </row>
    <row r="2">
      <c r="A2" t="inlineStr">
        <is>
          <t>LOT-001</t>
        </is>
      </c>
      <c r="B2" s="17" t="n">
        <v>46249</v>
      </c>
      <c r="D2" t="inlineStr">
        <is>
          <t>Big 5</t>
        </is>
      </c>
      <c r="E2" t="inlineStr">
        <is>
          <t>Upland, CA</t>
        </is>
      </c>
      <c r="F2" t="inlineStr">
        <is>
          <t>2025 Panini Prizm Draft Picks College Football - Mega Box</t>
        </is>
      </c>
      <c r="G2" t="n">
        <v>1</v>
      </c>
      <c r="H2" s="18" t="n">
        <v>69.98999999999999</v>
      </c>
      <c r="I2" s="18">
        <f>ARRAYFORMULA(IF(H2:H="","",G2:G*H2:H))</f>
        <v/>
      </c>
      <c r="J2" s="18" t="n">
        <v>5.42</v>
      </c>
      <c r="K2" s="18">
        <f>ARRAYFORMULA(IF(I2:I="","",I2:I+N(J2:J)))</f>
        <v/>
      </c>
      <c r="L2" s="18" t="n">
        <v>55.99</v>
      </c>
      <c r="M2" s="18">
        <f>ARRAYFORMULA(IF(L2:L="","",K2:K-L2:L*N(G2:G)))</f>
        <v/>
      </c>
      <c r="N2" t="n">
        <v>60</v>
      </c>
      <c r="O2" s="18">
        <f>ARRAYFORMULA(IF(N2:N="","",K2:K/N2:N))</f>
        <v/>
      </c>
      <c r="P2" s="18" t="n"/>
      <c r="Q2" s="18">
        <f>ARRAYFORMULA(IF(P2:P="","",P2:P-K2:K))</f>
        <v/>
      </c>
      <c r="S2" t="inlineStr">
        <is>
          <t>6 packs x 10 cards. 18 mega-box exclusives per box.</t>
        </is>
      </c>
    </row>
    <row r="3">
      <c r="B3" s="17" t="n"/>
      <c r="H3" s="18" t="n"/>
      <c r="I3" s="18" t="n"/>
      <c r="J3" s="18" t="n"/>
      <c r="K3" s="18" t="n"/>
      <c r="L3" s="18" t="n"/>
      <c r="M3" s="18" t="n"/>
      <c r="O3" s="18" t="n"/>
      <c r="P3" s="18" t="n"/>
      <c r="Q3" s="18" t="n"/>
    </row>
    <row r="4">
      <c r="B4" s="17" t="n"/>
      <c r="H4" s="18" t="n"/>
      <c r="I4" s="18" t="n"/>
      <c r="J4" s="18" t="n"/>
      <c r="K4" s="18" t="n"/>
      <c r="L4" s="18" t="n"/>
      <c r="M4" s="18" t="n"/>
      <c r="O4" s="18" t="n"/>
      <c r="P4" s="18" t="n"/>
      <c r="Q4" s="18" t="n"/>
    </row>
    <row r="5">
      <c r="B5" s="17" t="n"/>
      <c r="H5" s="18" t="n"/>
      <c r="I5" s="18" t="n"/>
      <c r="J5" s="18" t="n"/>
      <c r="K5" s="18" t="n"/>
      <c r="L5" s="18" t="n"/>
      <c r="M5" s="18" t="n"/>
      <c r="O5" s="18" t="n"/>
      <c r="P5" s="18" t="n"/>
      <c r="Q5" s="18" t="n"/>
    </row>
    <row r="6">
      <c r="B6" s="17" t="n"/>
      <c r="H6" s="18" t="n"/>
      <c r="I6" s="18" t="n"/>
      <c r="J6" s="18" t="n"/>
      <c r="K6" s="18" t="n"/>
      <c r="L6" s="18" t="n"/>
      <c r="M6" s="18" t="n"/>
      <c r="O6" s="18" t="n"/>
      <c r="P6" s="18" t="n"/>
      <c r="Q6" s="18" t="n"/>
    </row>
    <row r="7">
      <c r="B7" s="17" t="n"/>
      <c r="H7" s="18" t="n"/>
      <c r="I7" s="18" t="n"/>
      <c r="J7" s="18" t="n"/>
      <c r="K7" s="18" t="n"/>
      <c r="L7" s="18" t="n"/>
      <c r="M7" s="18" t="n"/>
      <c r="O7" s="18" t="n"/>
      <c r="P7" s="18" t="n"/>
      <c r="Q7" s="18" t="n"/>
    </row>
    <row r="8">
      <c r="B8" s="17" t="n"/>
      <c r="H8" s="18" t="n"/>
      <c r="I8" s="18" t="n"/>
      <c r="J8" s="18" t="n"/>
      <c r="K8" s="18" t="n"/>
      <c r="L8" s="18" t="n"/>
      <c r="M8" s="18" t="n"/>
      <c r="O8" s="18" t="n"/>
      <c r="P8" s="18" t="n"/>
      <c r="Q8" s="18" t="n"/>
    </row>
    <row r="9">
      <c r="B9" s="17" t="n"/>
      <c r="H9" s="18" t="n"/>
      <c r="I9" s="18" t="n"/>
      <c r="J9" s="18" t="n"/>
      <c r="K9" s="18" t="n"/>
      <c r="L9" s="18" t="n"/>
      <c r="M9" s="18" t="n"/>
      <c r="O9" s="18" t="n"/>
      <c r="P9" s="18" t="n"/>
      <c r="Q9" s="18" t="n"/>
    </row>
    <row r="10">
      <c r="B10" s="17" t="n"/>
      <c r="H10" s="18" t="n"/>
      <c r="I10" s="18" t="n"/>
      <c r="J10" s="18" t="n"/>
      <c r="K10" s="18" t="n"/>
      <c r="L10" s="18" t="n"/>
      <c r="M10" s="18" t="n"/>
      <c r="O10" s="18" t="n"/>
      <c r="P10" s="18" t="n"/>
      <c r="Q10" s="18" t="n"/>
    </row>
    <row r="11">
      <c r="B11" s="17" t="n"/>
      <c r="H11" s="18" t="n"/>
      <c r="I11" s="18" t="n"/>
      <c r="J11" s="18" t="n"/>
      <c r="K11" s="18" t="n"/>
      <c r="L11" s="18" t="n"/>
      <c r="M11" s="18" t="n"/>
      <c r="O11" s="18" t="n"/>
      <c r="P11" s="18" t="n"/>
      <c r="Q11" s="18" t="n"/>
    </row>
    <row r="12">
      <c r="B12" s="17" t="n"/>
      <c r="H12" s="18" t="n"/>
      <c r="I12" s="18" t="n"/>
      <c r="J12" s="18" t="n"/>
      <c r="K12" s="18" t="n"/>
      <c r="L12" s="18" t="n"/>
      <c r="M12" s="18" t="n"/>
      <c r="O12" s="18" t="n"/>
      <c r="P12" s="18" t="n"/>
      <c r="Q12" s="18" t="n"/>
    </row>
    <row r="13">
      <c r="B13" s="17" t="n"/>
      <c r="H13" s="18" t="n"/>
      <c r="I13" s="18" t="n"/>
      <c r="J13" s="18" t="n"/>
      <c r="K13" s="18" t="n"/>
      <c r="L13" s="18" t="n"/>
      <c r="M13" s="18" t="n"/>
      <c r="O13" s="18" t="n"/>
      <c r="P13" s="18" t="n"/>
      <c r="Q13" s="18" t="n"/>
    </row>
    <row r="14">
      <c r="B14" s="17" t="n"/>
      <c r="H14" s="18" t="n"/>
      <c r="I14" s="18" t="n"/>
      <c r="J14" s="18" t="n"/>
      <c r="K14" s="18" t="n"/>
      <c r="L14" s="18" t="n"/>
      <c r="M14" s="18" t="n"/>
      <c r="O14" s="18" t="n"/>
      <c r="P14" s="18" t="n"/>
      <c r="Q14" s="18" t="n"/>
    </row>
    <row r="15">
      <c r="B15" s="17" t="n"/>
      <c r="H15" s="18" t="n"/>
      <c r="I15" s="18" t="n"/>
      <c r="J15" s="18" t="n"/>
      <c r="K15" s="18" t="n"/>
      <c r="L15" s="18" t="n"/>
      <c r="M15" s="18" t="n"/>
      <c r="O15" s="18" t="n"/>
      <c r="P15" s="18" t="n"/>
      <c r="Q15" s="18" t="n"/>
    </row>
    <row r="16">
      <c r="B16" s="17" t="n"/>
      <c r="H16" s="18" t="n"/>
      <c r="I16" s="18" t="n"/>
      <c r="J16" s="18" t="n"/>
      <c r="K16" s="18" t="n"/>
      <c r="L16" s="18" t="n"/>
      <c r="M16" s="18" t="n"/>
      <c r="O16" s="18" t="n"/>
      <c r="P16" s="18" t="n"/>
      <c r="Q16" s="18" t="n"/>
    </row>
    <row r="17">
      <c r="B17" s="17" t="n"/>
      <c r="H17" s="18" t="n"/>
      <c r="I17" s="18" t="n"/>
      <c r="J17" s="18" t="n"/>
      <c r="K17" s="18" t="n"/>
      <c r="L17" s="18" t="n"/>
      <c r="M17" s="18" t="n"/>
      <c r="O17" s="18" t="n"/>
      <c r="P17" s="18" t="n"/>
      <c r="Q17" s="18" t="n"/>
    </row>
    <row r="18">
      <c r="B18" s="17" t="n"/>
      <c r="H18" s="18" t="n"/>
      <c r="I18" s="18" t="n"/>
      <c r="J18" s="18" t="n"/>
      <c r="K18" s="18" t="n"/>
      <c r="L18" s="18" t="n"/>
      <c r="M18" s="18" t="n"/>
      <c r="O18" s="18" t="n"/>
      <c r="P18" s="18" t="n"/>
      <c r="Q18" s="18" t="n"/>
    </row>
    <row r="19">
      <c r="B19" s="17" t="n"/>
      <c r="H19" s="18" t="n"/>
      <c r="I19" s="18" t="n"/>
      <c r="J19" s="18" t="n"/>
      <c r="K19" s="18" t="n"/>
      <c r="L19" s="18" t="n"/>
      <c r="M19" s="18" t="n"/>
      <c r="O19" s="18" t="n"/>
      <c r="P19" s="18" t="n"/>
      <c r="Q19" s="18" t="n"/>
    </row>
    <row r="20">
      <c r="B20" s="17" t="n"/>
      <c r="H20" s="18" t="n"/>
      <c r="I20" s="18" t="n"/>
      <c r="J20" s="18" t="n"/>
      <c r="K20" s="18" t="n"/>
      <c r="L20" s="18" t="n"/>
      <c r="M20" s="18" t="n"/>
      <c r="O20" s="18" t="n"/>
      <c r="P20" s="18" t="n"/>
      <c r="Q20" s="18" t="n"/>
    </row>
    <row r="21">
      <c r="B21" s="17" t="n"/>
      <c r="H21" s="18" t="n"/>
      <c r="I21" s="18" t="n"/>
      <c r="J21" s="18" t="n"/>
      <c r="K21" s="18" t="n"/>
      <c r="L21" s="18" t="n"/>
      <c r="M21" s="18" t="n"/>
      <c r="O21" s="18" t="n"/>
      <c r="P21" s="18" t="n"/>
      <c r="Q21" s="18" t="n"/>
    </row>
    <row r="22">
      <c r="B22" s="17" t="n"/>
      <c r="H22" s="18" t="n"/>
      <c r="I22" s="18" t="n"/>
      <c r="J22" s="18" t="n"/>
      <c r="K22" s="18" t="n"/>
      <c r="L22" s="18" t="n"/>
      <c r="M22" s="18" t="n"/>
      <c r="O22" s="18" t="n"/>
      <c r="P22" s="18" t="n"/>
      <c r="Q22" s="18" t="n"/>
    </row>
    <row r="23">
      <c r="B23" s="17" t="n"/>
      <c r="H23" s="18" t="n"/>
      <c r="I23" s="18" t="n"/>
      <c r="J23" s="18" t="n"/>
      <c r="K23" s="18" t="n"/>
      <c r="L23" s="18" t="n"/>
      <c r="M23" s="18" t="n"/>
      <c r="O23" s="18" t="n"/>
      <c r="P23" s="18" t="n"/>
      <c r="Q23" s="18" t="n"/>
    </row>
    <row r="24">
      <c r="B24" s="17" t="n"/>
      <c r="H24" s="18" t="n"/>
      <c r="I24" s="18" t="n"/>
      <c r="J24" s="18" t="n"/>
      <c r="K24" s="18" t="n"/>
      <c r="L24" s="18" t="n"/>
      <c r="M24" s="18" t="n"/>
      <c r="O24" s="18" t="n"/>
      <c r="P24" s="18" t="n"/>
      <c r="Q24" s="18" t="n"/>
    </row>
    <row r="25">
      <c r="B25" s="17" t="n"/>
      <c r="H25" s="18" t="n"/>
      <c r="I25" s="18" t="n"/>
      <c r="J25" s="18" t="n"/>
      <c r="K25" s="18" t="n"/>
      <c r="L25" s="18" t="n"/>
      <c r="M25" s="18" t="n"/>
      <c r="O25" s="18" t="n"/>
      <c r="P25" s="18" t="n"/>
      <c r="Q25" s="18" t="n"/>
    </row>
    <row r="26">
      <c r="B26" s="17" t="n"/>
      <c r="H26" s="18" t="n"/>
      <c r="I26" s="18" t="n"/>
      <c r="J26" s="18" t="n"/>
      <c r="K26" s="18" t="n"/>
      <c r="L26" s="18" t="n"/>
      <c r="M26" s="18" t="n"/>
      <c r="O26" s="18" t="n"/>
      <c r="P26" s="18" t="n"/>
      <c r="Q26" s="18" t="n"/>
    </row>
    <row r="27">
      <c r="B27" s="17" t="n"/>
      <c r="H27" s="18" t="n"/>
      <c r="I27" s="18" t="n"/>
      <c r="J27" s="18" t="n"/>
      <c r="K27" s="18" t="n"/>
      <c r="L27" s="18" t="n"/>
      <c r="M27" s="18" t="n"/>
      <c r="O27" s="18" t="n"/>
      <c r="P27" s="18" t="n"/>
      <c r="Q27" s="18" t="n"/>
    </row>
    <row r="28">
      <c r="B28" s="17" t="n"/>
      <c r="H28" s="18" t="n"/>
      <c r="I28" s="18" t="n"/>
      <c r="J28" s="18" t="n"/>
      <c r="K28" s="18" t="n"/>
      <c r="L28" s="18" t="n"/>
      <c r="M28" s="18" t="n"/>
      <c r="O28" s="18" t="n"/>
      <c r="P28" s="18" t="n"/>
      <c r="Q28" s="18" t="n"/>
    </row>
    <row r="29">
      <c r="B29" s="17" t="n"/>
      <c r="H29" s="18" t="n"/>
      <c r="I29" s="18" t="n"/>
      <c r="J29" s="18" t="n"/>
      <c r="K29" s="18" t="n"/>
      <c r="L29" s="18" t="n"/>
      <c r="M29" s="18" t="n"/>
      <c r="O29" s="18" t="n"/>
      <c r="P29" s="18" t="n"/>
      <c r="Q29" s="18" t="n"/>
    </row>
    <row r="30">
      <c r="B30" s="17" t="n"/>
      <c r="H30" s="18" t="n"/>
      <c r="I30" s="18" t="n"/>
      <c r="J30" s="18" t="n"/>
      <c r="K30" s="18" t="n"/>
      <c r="L30" s="18" t="n"/>
      <c r="M30" s="18" t="n"/>
      <c r="O30" s="18" t="n"/>
      <c r="P30" s="18" t="n"/>
      <c r="Q30" s="18" t="n"/>
    </row>
    <row r="31">
      <c r="B31" s="17" t="n"/>
      <c r="H31" s="18" t="n"/>
      <c r="I31" s="18" t="n"/>
      <c r="J31" s="18" t="n"/>
      <c r="K31" s="18" t="n"/>
      <c r="L31" s="18" t="n"/>
      <c r="M31" s="18" t="n"/>
      <c r="O31" s="18" t="n"/>
      <c r="P31" s="18" t="n"/>
      <c r="Q31" s="18" t="n"/>
    </row>
    <row r="32">
      <c r="B32" s="17" t="n"/>
      <c r="H32" s="18" t="n"/>
      <c r="I32" s="18" t="n"/>
      <c r="J32" s="18" t="n"/>
      <c r="K32" s="18" t="n"/>
      <c r="L32" s="18" t="n"/>
      <c r="M32" s="18" t="n"/>
      <c r="O32" s="18" t="n"/>
      <c r="P32" s="18" t="n"/>
      <c r="Q32" s="18" t="n"/>
    </row>
    <row r="33">
      <c r="B33" s="17" t="n"/>
      <c r="H33" s="18" t="n"/>
      <c r="I33" s="18" t="n"/>
      <c r="J33" s="18" t="n"/>
      <c r="K33" s="18" t="n"/>
      <c r="L33" s="18" t="n"/>
      <c r="M33" s="18" t="n"/>
      <c r="O33" s="18" t="n"/>
      <c r="P33" s="18" t="n"/>
      <c r="Q33" s="18" t="n"/>
    </row>
    <row r="34">
      <c r="B34" s="17" t="n"/>
      <c r="H34" s="18" t="n"/>
      <c r="I34" s="18" t="n"/>
      <c r="J34" s="18" t="n"/>
      <c r="K34" s="18" t="n"/>
      <c r="L34" s="18" t="n"/>
      <c r="M34" s="18" t="n"/>
      <c r="O34" s="18" t="n"/>
      <c r="P34" s="18" t="n"/>
      <c r="Q34" s="18" t="n"/>
    </row>
    <row r="35">
      <c r="B35" s="17" t="n"/>
      <c r="H35" s="18" t="n"/>
      <c r="I35" s="18" t="n"/>
      <c r="J35" s="18" t="n"/>
      <c r="K35" s="18" t="n"/>
      <c r="L35" s="18" t="n"/>
      <c r="M35" s="18" t="n"/>
      <c r="O35" s="18" t="n"/>
      <c r="P35" s="18" t="n"/>
      <c r="Q35" s="18" t="n"/>
    </row>
    <row r="36">
      <c r="B36" s="17" t="n"/>
      <c r="H36" s="18" t="n"/>
      <c r="I36" s="18" t="n"/>
      <c r="J36" s="18" t="n"/>
      <c r="K36" s="18" t="n"/>
      <c r="L36" s="18" t="n"/>
      <c r="M36" s="18" t="n"/>
      <c r="O36" s="18" t="n"/>
      <c r="P36" s="18" t="n"/>
      <c r="Q36" s="18" t="n"/>
    </row>
    <row r="37">
      <c r="B37" s="17" t="n"/>
      <c r="H37" s="18" t="n"/>
      <c r="I37" s="18" t="n"/>
      <c r="J37" s="18" t="n"/>
      <c r="K37" s="18" t="n"/>
      <c r="L37" s="18" t="n"/>
      <c r="M37" s="18" t="n"/>
      <c r="O37" s="18" t="n"/>
      <c r="P37" s="18" t="n"/>
      <c r="Q37" s="18" t="n"/>
    </row>
    <row r="38">
      <c r="B38" s="17" t="n"/>
      <c r="H38" s="18" t="n"/>
      <c r="I38" s="18" t="n"/>
      <c r="J38" s="18" t="n"/>
      <c r="K38" s="18" t="n"/>
      <c r="L38" s="18" t="n"/>
      <c r="M38" s="18" t="n"/>
      <c r="O38" s="18" t="n"/>
      <c r="P38" s="18" t="n"/>
      <c r="Q38" s="18" t="n"/>
    </row>
    <row r="39">
      <c r="B39" s="17" t="n"/>
      <c r="H39" s="18" t="n"/>
      <c r="I39" s="18" t="n"/>
      <c r="J39" s="18" t="n"/>
      <c r="K39" s="18" t="n"/>
      <c r="L39" s="18" t="n"/>
      <c r="M39" s="18" t="n"/>
      <c r="O39" s="18" t="n"/>
      <c r="P39" s="18" t="n"/>
      <c r="Q39" s="18" t="n"/>
    </row>
    <row r="40">
      <c r="B40" s="17" t="n"/>
      <c r="H40" s="18" t="n"/>
      <c r="I40" s="18" t="n"/>
      <c r="J40" s="18" t="n"/>
      <c r="K40" s="18" t="n"/>
      <c r="L40" s="18" t="n"/>
      <c r="M40" s="18" t="n"/>
      <c r="O40" s="18" t="n"/>
      <c r="P40" s="18" t="n"/>
      <c r="Q40" s="18" t="n"/>
    </row>
    <row r="41">
      <c r="B41" s="17" t="n"/>
      <c r="H41" s="18" t="n"/>
      <c r="I41" s="18" t="n"/>
      <c r="J41" s="18" t="n"/>
      <c r="K41" s="18" t="n"/>
      <c r="L41" s="18" t="n"/>
      <c r="M41" s="18" t="n"/>
      <c r="O41" s="18" t="n"/>
      <c r="P41" s="18" t="n"/>
      <c r="Q41" s="18" t="n"/>
    </row>
    <row r="42">
      <c r="B42" s="17" t="n"/>
      <c r="H42" s="18" t="n"/>
      <c r="I42" s="18" t="n"/>
      <c r="J42" s="18" t="n"/>
      <c r="K42" s="18" t="n"/>
      <c r="L42" s="18" t="n"/>
      <c r="M42" s="18" t="n"/>
      <c r="O42" s="18" t="n"/>
      <c r="P42" s="18" t="n"/>
      <c r="Q42" s="18" t="n"/>
    </row>
    <row r="43">
      <c r="B43" s="17" t="n"/>
      <c r="H43" s="18" t="n"/>
      <c r="I43" s="18" t="n"/>
      <c r="J43" s="18" t="n"/>
      <c r="K43" s="18" t="n"/>
      <c r="L43" s="18" t="n"/>
      <c r="M43" s="18" t="n"/>
      <c r="O43" s="18" t="n"/>
      <c r="P43" s="18" t="n"/>
      <c r="Q43" s="18" t="n"/>
    </row>
    <row r="44">
      <c r="B44" s="17" t="n"/>
      <c r="H44" s="18" t="n"/>
      <c r="I44" s="18" t="n"/>
      <c r="J44" s="18" t="n"/>
      <c r="K44" s="18" t="n"/>
      <c r="L44" s="18" t="n"/>
      <c r="M44" s="18" t="n"/>
      <c r="O44" s="18" t="n"/>
      <c r="P44" s="18" t="n"/>
      <c r="Q44" s="18" t="n"/>
    </row>
    <row r="45">
      <c r="B45" s="17" t="n"/>
      <c r="H45" s="18" t="n"/>
      <c r="I45" s="18" t="n"/>
      <c r="J45" s="18" t="n"/>
      <c r="K45" s="18" t="n"/>
      <c r="L45" s="18" t="n"/>
      <c r="M45" s="18" t="n"/>
      <c r="O45" s="18" t="n"/>
      <c r="P45" s="18" t="n"/>
      <c r="Q45" s="18" t="n"/>
    </row>
    <row r="46">
      <c r="B46" s="17" t="n"/>
      <c r="H46" s="18" t="n"/>
      <c r="I46" s="18" t="n"/>
      <c r="J46" s="18" t="n"/>
      <c r="K46" s="18" t="n"/>
      <c r="L46" s="18" t="n"/>
      <c r="M46" s="18" t="n"/>
      <c r="O46" s="18" t="n"/>
      <c r="P46" s="18" t="n"/>
      <c r="Q46" s="18" t="n"/>
    </row>
    <row r="47">
      <c r="B47" s="17" t="n"/>
      <c r="H47" s="18" t="n"/>
      <c r="I47" s="18" t="n"/>
      <c r="J47" s="18" t="n"/>
      <c r="K47" s="18" t="n"/>
      <c r="L47" s="18" t="n"/>
      <c r="M47" s="18" t="n"/>
      <c r="O47" s="18" t="n"/>
      <c r="P47" s="18" t="n"/>
      <c r="Q47" s="18" t="n"/>
    </row>
    <row r="48">
      <c r="B48" s="17" t="n"/>
      <c r="H48" s="18" t="n"/>
      <c r="I48" s="18" t="n"/>
      <c r="J48" s="18" t="n"/>
      <c r="K48" s="18" t="n"/>
      <c r="L48" s="18" t="n"/>
      <c r="M48" s="18" t="n"/>
      <c r="O48" s="18" t="n"/>
      <c r="P48" s="18" t="n"/>
      <c r="Q48" s="18" t="n"/>
    </row>
    <row r="49">
      <c r="B49" s="17" t="n"/>
      <c r="H49" s="18" t="n"/>
      <c r="I49" s="18" t="n"/>
      <c r="J49" s="18" t="n"/>
      <c r="K49" s="18" t="n"/>
      <c r="L49" s="18" t="n"/>
      <c r="M49" s="18" t="n"/>
      <c r="O49" s="18" t="n"/>
      <c r="P49" s="18" t="n"/>
      <c r="Q49" s="18" t="n"/>
    </row>
    <row r="50">
      <c r="B50" s="17" t="n"/>
      <c r="H50" s="18" t="n"/>
      <c r="I50" s="18" t="n"/>
      <c r="J50" s="18" t="n"/>
      <c r="K50" s="18" t="n"/>
      <c r="L50" s="18" t="n"/>
      <c r="M50" s="18" t="n"/>
      <c r="O50" s="18" t="n"/>
      <c r="P50" s="18" t="n"/>
      <c r="Q50" s="18" t="n"/>
    </row>
    <row r="51">
      <c r="B51" s="17" t="n"/>
      <c r="H51" s="18" t="n"/>
      <c r="I51" s="18" t="n"/>
      <c r="J51" s="18" t="n"/>
      <c r="K51" s="18" t="n"/>
      <c r="L51" s="18" t="n"/>
      <c r="M51" s="18" t="n"/>
      <c r="O51" s="18" t="n"/>
      <c r="P51" s="18" t="n"/>
      <c r="Q51" s="18" t="n"/>
    </row>
    <row r="52">
      <c r="B52" s="17" t="n"/>
      <c r="H52" s="18" t="n"/>
      <c r="I52" s="18" t="n"/>
      <c r="J52" s="18" t="n"/>
      <c r="K52" s="18" t="n"/>
      <c r="L52" s="18" t="n"/>
      <c r="M52" s="18" t="n"/>
      <c r="O52" s="18" t="n"/>
      <c r="P52" s="18" t="n"/>
      <c r="Q52" s="18" t="n"/>
    </row>
    <row r="53">
      <c r="B53" s="17" t="n"/>
      <c r="H53" s="18" t="n"/>
      <c r="I53" s="18" t="n"/>
      <c r="J53" s="18" t="n"/>
      <c r="K53" s="18" t="n"/>
      <c r="L53" s="18" t="n"/>
      <c r="M53" s="18" t="n"/>
      <c r="O53" s="18" t="n"/>
      <c r="P53" s="18" t="n"/>
      <c r="Q53" s="18" t="n"/>
    </row>
    <row r="54">
      <c r="B54" s="17" t="n"/>
      <c r="H54" s="18" t="n"/>
      <c r="I54" s="18" t="n"/>
      <c r="J54" s="18" t="n"/>
      <c r="K54" s="18" t="n"/>
      <c r="L54" s="18" t="n"/>
      <c r="M54" s="18" t="n"/>
      <c r="O54" s="18" t="n"/>
      <c r="P54" s="18" t="n"/>
      <c r="Q54" s="18" t="n"/>
    </row>
    <row r="55">
      <c r="B55" s="17" t="n"/>
      <c r="H55" s="18" t="n"/>
      <c r="I55" s="18" t="n"/>
      <c r="J55" s="18" t="n"/>
      <c r="K55" s="18" t="n"/>
      <c r="L55" s="18" t="n"/>
      <c r="M55" s="18" t="n"/>
      <c r="O55" s="18" t="n"/>
      <c r="P55" s="18" t="n"/>
      <c r="Q55" s="18" t="n"/>
    </row>
    <row r="56">
      <c r="B56" s="17" t="n"/>
      <c r="H56" s="18" t="n"/>
      <c r="I56" s="18" t="n"/>
      <c r="J56" s="18" t="n"/>
      <c r="K56" s="18" t="n"/>
      <c r="L56" s="18" t="n"/>
      <c r="M56" s="18" t="n"/>
      <c r="O56" s="18" t="n"/>
      <c r="P56" s="18" t="n"/>
      <c r="Q56" s="18" t="n"/>
    </row>
    <row r="57">
      <c r="B57" s="17" t="n"/>
      <c r="H57" s="18" t="n"/>
      <c r="I57" s="18" t="n"/>
      <c r="J57" s="18" t="n"/>
      <c r="K57" s="18" t="n"/>
      <c r="L57" s="18" t="n"/>
      <c r="M57" s="18" t="n"/>
      <c r="O57" s="18" t="n"/>
      <c r="P57" s="18" t="n"/>
      <c r="Q57" s="18" t="n"/>
    </row>
    <row r="58">
      <c r="B58" s="17" t="n"/>
      <c r="H58" s="18" t="n"/>
      <c r="I58" s="18" t="n"/>
      <c r="J58" s="18" t="n"/>
      <c r="K58" s="18" t="n"/>
      <c r="L58" s="18" t="n"/>
      <c r="M58" s="18" t="n"/>
      <c r="O58" s="18" t="n"/>
      <c r="P58" s="18" t="n"/>
      <c r="Q58" s="18" t="n"/>
    </row>
    <row r="59">
      <c r="B59" s="17" t="n"/>
      <c r="H59" s="18" t="n"/>
      <c r="I59" s="18" t="n"/>
      <c r="J59" s="18" t="n"/>
      <c r="K59" s="18" t="n"/>
      <c r="L59" s="18" t="n"/>
      <c r="M59" s="18" t="n"/>
      <c r="O59" s="18" t="n"/>
      <c r="P59" s="18" t="n"/>
      <c r="Q59" s="18" t="n"/>
    </row>
    <row r="60">
      <c r="B60" s="17" t="n"/>
      <c r="H60" s="18" t="n"/>
      <c r="I60" s="18" t="n"/>
      <c r="J60" s="18" t="n"/>
      <c r="K60" s="18" t="n"/>
      <c r="L60" s="18" t="n"/>
      <c r="M60" s="18" t="n"/>
      <c r="O60" s="18" t="n"/>
      <c r="P60" s="18" t="n"/>
      <c r="Q60" s="18" t="n"/>
    </row>
    <row r="61">
      <c r="B61" s="17" t="n"/>
      <c r="H61" s="18" t="n"/>
      <c r="I61" s="18" t="n"/>
      <c r="J61" s="18" t="n"/>
      <c r="K61" s="18" t="n"/>
      <c r="L61" s="18" t="n"/>
      <c r="M61" s="18" t="n"/>
      <c r="O61" s="18" t="n"/>
      <c r="P61" s="18" t="n"/>
      <c r="Q61" s="18" t="n"/>
    </row>
    <row r="62">
      <c r="B62" s="17" t="n"/>
      <c r="H62" s="18" t="n"/>
      <c r="I62" s="18" t="n"/>
      <c r="J62" s="18" t="n"/>
      <c r="K62" s="18" t="n"/>
      <c r="L62" s="18" t="n"/>
      <c r="M62" s="18" t="n"/>
      <c r="O62" s="18" t="n"/>
      <c r="P62" s="18" t="n"/>
      <c r="Q62" s="18" t="n"/>
    </row>
    <row r="63">
      <c r="B63" s="17" t="n"/>
      <c r="H63" s="18" t="n"/>
      <c r="I63" s="18" t="n"/>
      <c r="J63" s="18" t="n"/>
      <c r="K63" s="18" t="n"/>
      <c r="L63" s="18" t="n"/>
      <c r="M63" s="18" t="n"/>
      <c r="O63" s="18" t="n"/>
      <c r="P63" s="18" t="n"/>
      <c r="Q63" s="18" t="n"/>
    </row>
    <row r="64">
      <c r="B64" s="17" t="n"/>
      <c r="H64" s="18" t="n"/>
      <c r="I64" s="18" t="n"/>
      <c r="J64" s="18" t="n"/>
      <c r="K64" s="18" t="n"/>
      <c r="L64" s="18" t="n"/>
      <c r="M64" s="18" t="n"/>
      <c r="O64" s="18" t="n"/>
      <c r="P64" s="18" t="n"/>
      <c r="Q64" s="18" t="n"/>
    </row>
    <row r="65">
      <c r="B65" s="17" t="n"/>
      <c r="H65" s="18" t="n"/>
      <c r="I65" s="18" t="n"/>
      <c r="J65" s="18" t="n"/>
      <c r="K65" s="18" t="n"/>
      <c r="L65" s="18" t="n"/>
      <c r="M65" s="18" t="n"/>
      <c r="O65" s="18" t="n"/>
      <c r="P65" s="18" t="n"/>
      <c r="Q65" s="18" t="n"/>
    </row>
    <row r="66">
      <c r="B66" s="17" t="n"/>
      <c r="H66" s="18" t="n"/>
      <c r="I66" s="18" t="n"/>
      <c r="J66" s="18" t="n"/>
      <c r="K66" s="18" t="n"/>
      <c r="L66" s="18" t="n"/>
      <c r="M66" s="18" t="n"/>
      <c r="O66" s="18" t="n"/>
      <c r="P66" s="18" t="n"/>
      <c r="Q66" s="18" t="n"/>
    </row>
    <row r="67">
      <c r="B67" s="17" t="n"/>
      <c r="H67" s="18" t="n"/>
      <c r="I67" s="18" t="n"/>
      <c r="J67" s="18" t="n"/>
      <c r="K67" s="18" t="n"/>
      <c r="L67" s="18" t="n"/>
      <c r="M67" s="18" t="n"/>
      <c r="O67" s="18" t="n"/>
      <c r="P67" s="18" t="n"/>
      <c r="Q67" s="18" t="n"/>
    </row>
    <row r="68">
      <c r="B68" s="17" t="n"/>
      <c r="H68" s="18" t="n"/>
      <c r="I68" s="18" t="n"/>
      <c r="J68" s="18" t="n"/>
      <c r="K68" s="18" t="n"/>
      <c r="L68" s="18" t="n"/>
      <c r="M68" s="18" t="n"/>
      <c r="O68" s="18" t="n"/>
      <c r="P68" s="18" t="n"/>
      <c r="Q68" s="18" t="n"/>
    </row>
    <row r="69">
      <c r="B69" s="17" t="n"/>
      <c r="H69" s="18" t="n"/>
      <c r="I69" s="18" t="n"/>
      <c r="J69" s="18" t="n"/>
      <c r="K69" s="18" t="n"/>
      <c r="L69" s="18" t="n"/>
      <c r="M69" s="18" t="n"/>
      <c r="O69" s="18" t="n"/>
      <c r="P69" s="18" t="n"/>
      <c r="Q69" s="18" t="n"/>
    </row>
    <row r="70">
      <c r="B70" s="17" t="n"/>
      <c r="H70" s="18" t="n"/>
      <c r="I70" s="18" t="n"/>
      <c r="J70" s="18" t="n"/>
      <c r="K70" s="18" t="n"/>
      <c r="L70" s="18" t="n"/>
      <c r="M70" s="18" t="n"/>
      <c r="O70" s="18" t="n"/>
      <c r="P70" s="18" t="n"/>
      <c r="Q70" s="18" t="n"/>
    </row>
    <row r="71">
      <c r="B71" s="17" t="n"/>
      <c r="H71" s="18" t="n"/>
      <c r="I71" s="18" t="n"/>
      <c r="J71" s="18" t="n"/>
      <c r="K71" s="18" t="n"/>
      <c r="L71" s="18" t="n"/>
      <c r="M71" s="18" t="n"/>
      <c r="O71" s="18" t="n"/>
      <c r="P71" s="18" t="n"/>
      <c r="Q71" s="18" t="n"/>
    </row>
    <row r="72">
      <c r="B72" s="17" t="n"/>
      <c r="H72" s="18" t="n"/>
      <c r="I72" s="18" t="n"/>
      <c r="J72" s="18" t="n"/>
      <c r="K72" s="18" t="n"/>
      <c r="L72" s="18" t="n"/>
      <c r="M72" s="18" t="n"/>
      <c r="O72" s="18" t="n"/>
      <c r="P72" s="18" t="n"/>
      <c r="Q72" s="18" t="n"/>
    </row>
    <row r="73">
      <c r="B73" s="17" t="n"/>
      <c r="H73" s="18" t="n"/>
      <c r="I73" s="18" t="n"/>
      <c r="J73" s="18" t="n"/>
      <c r="K73" s="18" t="n"/>
      <c r="L73" s="18" t="n"/>
      <c r="M73" s="18" t="n"/>
      <c r="O73" s="18" t="n"/>
      <c r="P73" s="18" t="n"/>
      <c r="Q73" s="18" t="n"/>
    </row>
    <row r="74">
      <c r="B74" s="17" t="n"/>
      <c r="H74" s="18" t="n"/>
      <c r="I74" s="18" t="n"/>
      <c r="J74" s="18" t="n"/>
      <c r="K74" s="18" t="n"/>
      <c r="L74" s="18" t="n"/>
      <c r="M74" s="18" t="n"/>
      <c r="O74" s="18" t="n"/>
      <c r="P74" s="18" t="n"/>
      <c r="Q74" s="18" t="n"/>
    </row>
    <row r="75">
      <c r="B75" s="17" t="n"/>
      <c r="H75" s="18" t="n"/>
      <c r="I75" s="18" t="n"/>
      <c r="J75" s="18" t="n"/>
      <c r="K75" s="18" t="n"/>
      <c r="L75" s="18" t="n"/>
      <c r="M75" s="18" t="n"/>
      <c r="O75" s="18" t="n"/>
      <c r="P75" s="18" t="n"/>
      <c r="Q75" s="18" t="n"/>
    </row>
    <row r="76">
      <c r="B76" s="17" t="n"/>
      <c r="H76" s="18" t="n"/>
      <c r="I76" s="18" t="n"/>
      <c r="J76" s="18" t="n"/>
      <c r="K76" s="18" t="n"/>
      <c r="L76" s="18" t="n"/>
      <c r="M76" s="18" t="n"/>
      <c r="O76" s="18" t="n"/>
      <c r="P76" s="18" t="n"/>
      <c r="Q76" s="18" t="n"/>
    </row>
    <row r="77">
      <c r="B77" s="17" t="n"/>
      <c r="H77" s="18" t="n"/>
      <c r="I77" s="18" t="n"/>
      <c r="J77" s="18" t="n"/>
      <c r="K77" s="18" t="n"/>
      <c r="L77" s="18" t="n"/>
      <c r="M77" s="18" t="n"/>
      <c r="O77" s="18" t="n"/>
      <c r="P77" s="18" t="n"/>
      <c r="Q77" s="18" t="n"/>
    </row>
    <row r="78">
      <c r="B78" s="17" t="n"/>
      <c r="H78" s="18" t="n"/>
      <c r="I78" s="18" t="n"/>
      <c r="J78" s="18" t="n"/>
      <c r="K78" s="18" t="n"/>
      <c r="L78" s="18" t="n"/>
      <c r="M78" s="18" t="n"/>
      <c r="O78" s="18" t="n"/>
      <c r="P78" s="18" t="n"/>
      <c r="Q78" s="18" t="n"/>
    </row>
    <row r="79">
      <c r="B79" s="17" t="n"/>
      <c r="H79" s="18" t="n"/>
      <c r="I79" s="18" t="n"/>
      <c r="J79" s="18" t="n"/>
      <c r="K79" s="18" t="n"/>
      <c r="L79" s="18" t="n"/>
      <c r="M79" s="18" t="n"/>
      <c r="O79" s="18" t="n"/>
      <c r="P79" s="18" t="n"/>
      <c r="Q79" s="18" t="n"/>
    </row>
    <row r="80">
      <c r="B80" s="17" t="n"/>
      <c r="H80" s="18" t="n"/>
      <c r="I80" s="18" t="n"/>
      <c r="J80" s="18" t="n"/>
      <c r="K80" s="18" t="n"/>
      <c r="L80" s="18" t="n"/>
      <c r="M80" s="18" t="n"/>
      <c r="O80" s="18" t="n"/>
      <c r="P80" s="18" t="n"/>
      <c r="Q80" s="18" t="n"/>
    </row>
    <row r="81">
      <c r="B81" s="17" t="n"/>
      <c r="H81" s="18" t="n"/>
      <c r="I81" s="18" t="n"/>
      <c r="J81" s="18" t="n"/>
      <c r="K81" s="18" t="n"/>
      <c r="L81" s="18" t="n"/>
      <c r="M81" s="18" t="n"/>
      <c r="O81" s="18" t="n"/>
      <c r="P81" s="18" t="n"/>
      <c r="Q81" s="18" t="n"/>
    </row>
    <row r="82">
      <c r="B82" s="17" t="n"/>
      <c r="H82" s="18" t="n"/>
      <c r="I82" s="18" t="n"/>
      <c r="J82" s="18" t="n"/>
      <c r="K82" s="18" t="n"/>
      <c r="L82" s="18" t="n"/>
      <c r="M82" s="18" t="n"/>
      <c r="O82" s="18" t="n"/>
      <c r="P82" s="18" t="n"/>
      <c r="Q82" s="18" t="n"/>
    </row>
    <row r="83">
      <c r="B83" s="17" t="n"/>
      <c r="H83" s="18" t="n"/>
      <c r="I83" s="18" t="n"/>
      <c r="J83" s="18" t="n"/>
      <c r="K83" s="18" t="n"/>
      <c r="L83" s="18" t="n"/>
      <c r="M83" s="18" t="n"/>
      <c r="O83" s="18" t="n"/>
      <c r="P83" s="18" t="n"/>
      <c r="Q83" s="18" t="n"/>
    </row>
    <row r="84">
      <c r="B84" s="17" t="n"/>
      <c r="H84" s="18" t="n"/>
      <c r="I84" s="18" t="n"/>
      <c r="J84" s="18" t="n"/>
      <c r="K84" s="18" t="n"/>
      <c r="L84" s="18" t="n"/>
      <c r="M84" s="18" t="n"/>
      <c r="O84" s="18" t="n"/>
      <c r="P84" s="18" t="n"/>
      <c r="Q84" s="18" t="n"/>
    </row>
    <row r="85">
      <c r="B85" s="17" t="n"/>
      <c r="H85" s="18" t="n"/>
      <c r="I85" s="18" t="n"/>
      <c r="J85" s="18" t="n"/>
      <c r="K85" s="18" t="n"/>
      <c r="L85" s="18" t="n"/>
      <c r="M85" s="18" t="n"/>
      <c r="O85" s="18" t="n"/>
      <c r="P85" s="18" t="n"/>
      <c r="Q85" s="18" t="n"/>
    </row>
    <row r="86">
      <c r="B86" s="17" t="n"/>
      <c r="H86" s="18" t="n"/>
      <c r="I86" s="18" t="n"/>
      <c r="J86" s="18" t="n"/>
      <c r="K86" s="18" t="n"/>
      <c r="L86" s="18" t="n"/>
      <c r="M86" s="18" t="n"/>
      <c r="O86" s="18" t="n"/>
      <c r="P86" s="18" t="n"/>
      <c r="Q86" s="18" t="n"/>
    </row>
    <row r="87">
      <c r="B87" s="17" t="n"/>
      <c r="H87" s="18" t="n"/>
      <c r="I87" s="18" t="n"/>
      <c r="J87" s="18" t="n"/>
      <c r="K87" s="18" t="n"/>
      <c r="L87" s="18" t="n"/>
      <c r="M87" s="18" t="n"/>
      <c r="O87" s="18" t="n"/>
      <c r="P87" s="18" t="n"/>
      <c r="Q87" s="18" t="n"/>
    </row>
    <row r="88">
      <c r="B88" s="17" t="n"/>
      <c r="H88" s="18" t="n"/>
      <c r="I88" s="18" t="n"/>
      <c r="J88" s="18" t="n"/>
      <c r="K88" s="18" t="n"/>
      <c r="L88" s="18" t="n"/>
      <c r="M88" s="18" t="n"/>
      <c r="O88" s="18" t="n"/>
      <c r="P88" s="18" t="n"/>
      <c r="Q88" s="18" t="n"/>
    </row>
    <row r="89">
      <c r="B89" s="17" t="n"/>
      <c r="H89" s="18" t="n"/>
      <c r="I89" s="18" t="n"/>
      <c r="J89" s="18" t="n"/>
      <c r="K89" s="18" t="n"/>
      <c r="L89" s="18" t="n"/>
      <c r="M89" s="18" t="n"/>
      <c r="O89" s="18" t="n"/>
      <c r="P89" s="18" t="n"/>
      <c r="Q89" s="18" t="n"/>
    </row>
    <row r="90">
      <c r="B90" s="17" t="n"/>
      <c r="H90" s="18" t="n"/>
      <c r="I90" s="18" t="n"/>
      <c r="J90" s="18" t="n"/>
      <c r="K90" s="18" t="n"/>
      <c r="L90" s="18" t="n"/>
      <c r="M90" s="18" t="n"/>
      <c r="O90" s="18" t="n"/>
      <c r="P90" s="18" t="n"/>
      <c r="Q90" s="18" t="n"/>
    </row>
    <row r="91">
      <c r="B91" s="17" t="n"/>
      <c r="H91" s="18" t="n"/>
      <c r="I91" s="18" t="n"/>
      <c r="J91" s="18" t="n"/>
      <c r="K91" s="18" t="n"/>
      <c r="L91" s="18" t="n"/>
      <c r="M91" s="18" t="n"/>
      <c r="O91" s="18" t="n"/>
      <c r="P91" s="18" t="n"/>
      <c r="Q91" s="18" t="n"/>
    </row>
    <row r="92">
      <c r="B92" s="17" t="n"/>
      <c r="H92" s="18" t="n"/>
      <c r="I92" s="18" t="n"/>
      <c r="J92" s="18" t="n"/>
      <c r="K92" s="18" t="n"/>
      <c r="L92" s="18" t="n"/>
      <c r="M92" s="18" t="n"/>
      <c r="O92" s="18" t="n"/>
      <c r="P92" s="18" t="n"/>
      <c r="Q92" s="18" t="n"/>
    </row>
    <row r="93">
      <c r="B93" s="17" t="n"/>
      <c r="H93" s="18" t="n"/>
      <c r="I93" s="18" t="n"/>
      <c r="J93" s="18" t="n"/>
      <c r="K93" s="18" t="n"/>
      <c r="L93" s="18" t="n"/>
      <c r="M93" s="18" t="n"/>
      <c r="O93" s="18" t="n"/>
      <c r="P93" s="18" t="n"/>
      <c r="Q93" s="18" t="n"/>
    </row>
    <row r="94">
      <c r="B94" s="17" t="n"/>
      <c r="H94" s="18" t="n"/>
      <c r="I94" s="18" t="n"/>
      <c r="J94" s="18" t="n"/>
      <c r="K94" s="18" t="n"/>
      <c r="L94" s="18" t="n"/>
      <c r="M94" s="18" t="n"/>
      <c r="O94" s="18" t="n"/>
      <c r="P94" s="18" t="n"/>
      <c r="Q94" s="18" t="n"/>
    </row>
    <row r="95">
      <c r="B95" s="17" t="n"/>
      <c r="H95" s="18" t="n"/>
      <c r="I95" s="18" t="n"/>
      <c r="J95" s="18" t="n"/>
      <c r="K95" s="18" t="n"/>
      <c r="L95" s="18" t="n"/>
      <c r="M95" s="18" t="n"/>
      <c r="O95" s="18" t="n"/>
      <c r="P95" s="18" t="n"/>
      <c r="Q95" s="18" t="n"/>
    </row>
    <row r="96">
      <c r="B96" s="17" t="n"/>
      <c r="H96" s="18" t="n"/>
      <c r="I96" s="18" t="n"/>
      <c r="J96" s="18" t="n"/>
      <c r="K96" s="18" t="n"/>
      <c r="L96" s="18" t="n"/>
      <c r="M96" s="18" t="n"/>
      <c r="O96" s="18" t="n"/>
      <c r="P96" s="18" t="n"/>
      <c r="Q96" s="18" t="n"/>
    </row>
    <row r="97">
      <c r="B97" s="17" t="n"/>
      <c r="H97" s="18" t="n"/>
      <c r="I97" s="18" t="n"/>
      <c r="J97" s="18" t="n"/>
      <c r="K97" s="18" t="n"/>
      <c r="L97" s="18" t="n"/>
      <c r="M97" s="18" t="n"/>
      <c r="O97" s="18" t="n"/>
      <c r="P97" s="18" t="n"/>
      <c r="Q97" s="18" t="n"/>
    </row>
    <row r="98">
      <c r="B98" s="17" t="n"/>
      <c r="H98" s="18" t="n"/>
      <c r="I98" s="18" t="n"/>
      <c r="J98" s="18" t="n"/>
      <c r="K98" s="18" t="n"/>
      <c r="L98" s="18" t="n"/>
      <c r="M98" s="18" t="n"/>
      <c r="O98" s="18" t="n"/>
      <c r="P98" s="18" t="n"/>
      <c r="Q98" s="18" t="n"/>
    </row>
    <row r="99">
      <c r="B99" s="17" t="n"/>
      <c r="H99" s="18" t="n"/>
      <c r="I99" s="18" t="n"/>
      <c r="J99" s="18" t="n"/>
      <c r="K99" s="18" t="n"/>
      <c r="L99" s="18" t="n"/>
      <c r="M99" s="18" t="n"/>
      <c r="O99" s="18" t="n"/>
      <c r="P99" s="18" t="n"/>
      <c r="Q99" s="18" t="n"/>
    </row>
    <row r="100">
      <c r="B100" s="17" t="n"/>
      <c r="H100" s="18" t="n"/>
      <c r="I100" s="18" t="n"/>
      <c r="J100" s="18" t="n"/>
      <c r="K100" s="18" t="n"/>
      <c r="L100" s="18" t="n"/>
      <c r="M100" s="18" t="n"/>
      <c r="O100" s="18" t="n"/>
      <c r="P100" s="18" t="n"/>
      <c r="Q100" s="18" t="n"/>
    </row>
    <row r="101">
      <c r="B101" s="17" t="n"/>
      <c r="H101" s="18" t="n"/>
      <c r="I101" s="18" t="n"/>
      <c r="J101" s="18" t="n"/>
      <c r="K101" s="18" t="n"/>
      <c r="L101" s="18" t="n"/>
      <c r="M101" s="18" t="n"/>
      <c r="O101" s="18" t="n"/>
      <c r="P101" s="18" t="n"/>
      <c r="Q101" s="18" t="n"/>
    </row>
    <row r="102">
      <c r="B102" s="17" t="n"/>
      <c r="H102" s="18" t="n"/>
      <c r="I102" s="18" t="n"/>
      <c r="J102" s="18" t="n"/>
      <c r="K102" s="18" t="n"/>
      <c r="L102" s="18" t="n"/>
      <c r="M102" s="18" t="n"/>
      <c r="O102" s="18" t="n"/>
      <c r="P102" s="18" t="n"/>
      <c r="Q102" s="18" t="n"/>
    </row>
    <row r="103">
      <c r="B103" s="17" t="n"/>
      <c r="H103" s="18" t="n"/>
      <c r="I103" s="18" t="n"/>
      <c r="J103" s="18" t="n"/>
      <c r="K103" s="18" t="n"/>
      <c r="L103" s="18" t="n"/>
      <c r="M103" s="18" t="n"/>
      <c r="O103" s="18" t="n"/>
      <c r="P103" s="18" t="n"/>
      <c r="Q103" s="18" t="n"/>
    </row>
    <row r="104">
      <c r="B104" s="17" t="n"/>
      <c r="H104" s="18" t="n"/>
      <c r="I104" s="18" t="n"/>
      <c r="J104" s="18" t="n"/>
      <c r="K104" s="18" t="n"/>
      <c r="L104" s="18" t="n"/>
      <c r="M104" s="18" t="n"/>
      <c r="O104" s="18" t="n"/>
      <c r="P104" s="18" t="n"/>
      <c r="Q104" s="18" t="n"/>
    </row>
    <row r="105">
      <c r="B105" s="17" t="n"/>
      <c r="H105" s="18" t="n"/>
      <c r="I105" s="18" t="n"/>
      <c r="J105" s="18" t="n"/>
      <c r="K105" s="18" t="n"/>
      <c r="L105" s="18" t="n"/>
      <c r="M105" s="18" t="n"/>
      <c r="O105" s="18" t="n"/>
      <c r="P105" s="18" t="n"/>
      <c r="Q105" s="18" t="n"/>
    </row>
    <row r="106">
      <c r="B106" s="17" t="n"/>
      <c r="H106" s="18" t="n"/>
      <c r="I106" s="18" t="n"/>
      <c r="J106" s="18" t="n"/>
      <c r="K106" s="18" t="n"/>
      <c r="L106" s="18" t="n"/>
      <c r="M106" s="18" t="n"/>
      <c r="O106" s="18" t="n"/>
      <c r="P106" s="18" t="n"/>
      <c r="Q106" s="18" t="n"/>
    </row>
    <row r="107">
      <c r="B107" s="17" t="n"/>
      <c r="H107" s="18" t="n"/>
      <c r="I107" s="18" t="n"/>
      <c r="J107" s="18" t="n"/>
      <c r="K107" s="18" t="n"/>
      <c r="L107" s="18" t="n"/>
      <c r="M107" s="18" t="n"/>
      <c r="O107" s="18" t="n"/>
      <c r="P107" s="18" t="n"/>
      <c r="Q107" s="18" t="n"/>
    </row>
    <row r="108">
      <c r="B108" s="17" t="n"/>
      <c r="H108" s="18" t="n"/>
      <c r="I108" s="18" t="n"/>
      <c r="J108" s="18" t="n"/>
      <c r="K108" s="18" t="n"/>
      <c r="L108" s="18" t="n"/>
      <c r="M108" s="18" t="n"/>
      <c r="O108" s="18" t="n"/>
      <c r="P108" s="18" t="n"/>
      <c r="Q108" s="18" t="n"/>
    </row>
    <row r="109">
      <c r="B109" s="17" t="n"/>
      <c r="H109" s="18" t="n"/>
      <c r="I109" s="18" t="n"/>
      <c r="J109" s="18" t="n"/>
      <c r="K109" s="18" t="n"/>
      <c r="L109" s="18" t="n"/>
      <c r="M109" s="18" t="n"/>
      <c r="O109" s="18" t="n"/>
      <c r="P109" s="18" t="n"/>
      <c r="Q109" s="18" t="n"/>
    </row>
    <row r="110">
      <c r="B110" s="17" t="n"/>
      <c r="H110" s="18" t="n"/>
      <c r="I110" s="18" t="n"/>
      <c r="J110" s="18" t="n"/>
      <c r="K110" s="18" t="n"/>
      <c r="L110" s="18" t="n"/>
      <c r="M110" s="18" t="n"/>
      <c r="O110" s="18" t="n"/>
      <c r="P110" s="18" t="n"/>
      <c r="Q110" s="18" t="n"/>
    </row>
    <row r="111">
      <c r="B111" s="17" t="n"/>
      <c r="H111" s="18" t="n"/>
      <c r="I111" s="18" t="n"/>
      <c r="J111" s="18" t="n"/>
      <c r="K111" s="18" t="n"/>
      <c r="L111" s="18" t="n"/>
      <c r="M111" s="18" t="n"/>
      <c r="O111" s="18" t="n"/>
      <c r="P111" s="18" t="n"/>
      <c r="Q111" s="18" t="n"/>
    </row>
    <row r="112">
      <c r="B112" s="17" t="n"/>
      <c r="H112" s="18" t="n"/>
      <c r="I112" s="18" t="n"/>
      <c r="J112" s="18" t="n"/>
      <c r="K112" s="18" t="n"/>
      <c r="L112" s="18" t="n"/>
      <c r="M112" s="18" t="n"/>
      <c r="O112" s="18" t="n"/>
      <c r="P112" s="18" t="n"/>
      <c r="Q112" s="18" t="n"/>
    </row>
    <row r="113">
      <c r="B113" s="17" t="n"/>
      <c r="H113" s="18" t="n"/>
      <c r="I113" s="18" t="n"/>
      <c r="J113" s="18" t="n"/>
      <c r="K113" s="18" t="n"/>
      <c r="L113" s="18" t="n"/>
      <c r="M113" s="18" t="n"/>
      <c r="O113" s="18" t="n"/>
      <c r="P113" s="18" t="n"/>
      <c r="Q113" s="18" t="n"/>
    </row>
    <row r="114">
      <c r="B114" s="17" t="n"/>
      <c r="H114" s="18" t="n"/>
      <c r="I114" s="18" t="n"/>
      <c r="J114" s="18" t="n"/>
      <c r="K114" s="18" t="n"/>
      <c r="L114" s="18" t="n"/>
      <c r="M114" s="18" t="n"/>
      <c r="O114" s="18" t="n"/>
      <c r="P114" s="18" t="n"/>
      <c r="Q114" s="18" t="n"/>
    </row>
    <row r="115">
      <c r="B115" s="17" t="n"/>
      <c r="H115" s="18" t="n"/>
      <c r="I115" s="18" t="n"/>
      <c r="J115" s="18" t="n"/>
      <c r="K115" s="18" t="n"/>
      <c r="L115" s="18" t="n"/>
      <c r="M115" s="18" t="n"/>
      <c r="O115" s="18" t="n"/>
      <c r="P115" s="18" t="n"/>
      <c r="Q115" s="18" t="n"/>
    </row>
    <row r="116">
      <c r="B116" s="17" t="n"/>
      <c r="H116" s="18" t="n"/>
      <c r="I116" s="18" t="n"/>
      <c r="J116" s="18" t="n"/>
      <c r="K116" s="18" t="n"/>
      <c r="L116" s="18" t="n"/>
      <c r="M116" s="18" t="n"/>
      <c r="O116" s="18" t="n"/>
      <c r="P116" s="18" t="n"/>
      <c r="Q116" s="18" t="n"/>
    </row>
    <row r="117">
      <c r="B117" s="17" t="n"/>
      <c r="H117" s="18" t="n"/>
      <c r="I117" s="18" t="n"/>
      <c r="J117" s="18" t="n"/>
      <c r="K117" s="18" t="n"/>
      <c r="L117" s="18" t="n"/>
      <c r="M117" s="18" t="n"/>
      <c r="O117" s="18" t="n"/>
      <c r="P117" s="18" t="n"/>
      <c r="Q117" s="18" t="n"/>
    </row>
    <row r="118">
      <c r="B118" s="17" t="n"/>
      <c r="H118" s="18" t="n"/>
      <c r="I118" s="18" t="n"/>
      <c r="J118" s="18" t="n"/>
      <c r="K118" s="18" t="n"/>
      <c r="L118" s="18" t="n"/>
      <c r="M118" s="18" t="n"/>
      <c r="O118" s="18" t="n"/>
      <c r="P118" s="18" t="n"/>
      <c r="Q118" s="18" t="n"/>
    </row>
    <row r="119">
      <c r="B119" s="17" t="n"/>
      <c r="H119" s="18" t="n"/>
      <c r="I119" s="18" t="n"/>
      <c r="J119" s="18" t="n"/>
      <c r="K119" s="18" t="n"/>
      <c r="L119" s="18" t="n"/>
      <c r="M119" s="18" t="n"/>
      <c r="O119" s="18" t="n"/>
      <c r="P119" s="18" t="n"/>
      <c r="Q119" s="18" t="n"/>
    </row>
    <row r="120">
      <c r="B120" s="17" t="n"/>
      <c r="H120" s="18" t="n"/>
      <c r="I120" s="18" t="n"/>
      <c r="J120" s="18" t="n"/>
      <c r="K120" s="18" t="n"/>
      <c r="L120" s="18" t="n"/>
      <c r="M120" s="18" t="n"/>
      <c r="O120" s="18" t="n"/>
      <c r="P120" s="18" t="n"/>
      <c r="Q120" s="18" t="n"/>
    </row>
    <row r="121">
      <c r="B121" s="17" t="n"/>
      <c r="H121" s="18" t="n"/>
      <c r="I121" s="18" t="n"/>
      <c r="J121" s="18" t="n"/>
      <c r="K121" s="18" t="n"/>
      <c r="L121" s="18" t="n"/>
      <c r="M121" s="18" t="n"/>
      <c r="O121" s="18" t="n"/>
      <c r="P121" s="18" t="n"/>
      <c r="Q121" s="18" t="n"/>
    </row>
    <row r="122">
      <c r="B122" s="17" t="n"/>
      <c r="H122" s="18" t="n"/>
      <c r="I122" s="18" t="n"/>
      <c r="J122" s="18" t="n"/>
      <c r="K122" s="18" t="n"/>
      <c r="L122" s="18" t="n"/>
      <c r="M122" s="18" t="n"/>
      <c r="O122" s="18" t="n"/>
      <c r="P122" s="18" t="n"/>
      <c r="Q122" s="18" t="n"/>
    </row>
    <row r="123">
      <c r="B123" s="17" t="n"/>
      <c r="H123" s="18" t="n"/>
      <c r="I123" s="18" t="n"/>
      <c r="J123" s="18" t="n"/>
      <c r="K123" s="18" t="n"/>
      <c r="L123" s="18" t="n"/>
      <c r="M123" s="18" t="n"/>
      <c r="O123" s="18" t="n"/>
      <c r="P123" s="18" t="n"/>
      <c r="Q123" s="18" t="n"/>
    </row>
    <row r="124">
      <c r="B124" s="17" t="n"/>
      <c r="H124" s="18" t="n"/>
      <c r="I124" s="18" t="n"/>
      <c r="J124" s="18" t="n"/>
      <c r="K124" s="18" t="n"/>
      <c r="L124" s="18" t="n"/>
      <c r="M124" s="18" t="n"/>
      <c r="O124" s="18" t="n"/>
      <c r="P124" s="18" t="n"/>
      <c r="Q124" s="18" t="n"/>
    </row>
    <row r="125">
      <c r="B125" s="17" t="n"/>
      <c r="H125" s="18" t="n"/>
      <c r="I125" s="18" t="n"/>
      <c r="J125" s="18" t="n"/>
      <c r="K125" s="18" t="n"/>
      <c r="L125" s="18" t="n"/>
      <c r="M125" s="18" t="n"/>
      <c r="O125" s="18" t="n"/>
      <c r="P125" s="18" t="n"/>
      <c r="Q125" s="18" t="n"/>
    </row>
    <row r="126">
      <c r="B126" s="17" t="n"/>
      <c r="H126" s="18" t="n"/>
      <c r="I126" s="18" t="n"/>
      <c r="J126" s="18" t="n"/>
      <c r="K126" s="18" t="n"/>
      <c r="L126" s="18" t="n"/>
      <c r="M126" s="18" t="n"/>
      <c r="O126" s="18" t="n"/>
      <c r="P126" s="18" t="n"/>
      <c r="Q126" s="18" t="n"/>
    </row>
    <row r="127">
      <c r="B127" s="17" t="n"/>
      <c r="H127" s="18" t="n"/>
      <c r="I127" s="18" t="n"/>
      <c r="J127" s="18" t="n"/>
      <c r="K127" s="18" t="n"/>
      <c r="L127" s="18" t="n"/>
      <c r="M127" s="18" t="n"/>
      <c r="O127" s="18" t="n"/>
      <c r="P127" s="18" t="n"/>
      <c r="Q127" s="18" t="n"/>
    </row>
    <row r="128">
      <c r="B128" s="17" t="n"/>
      <c r="H128" s="18" t="n"/>
      <c r="I128" s="18" t="n"/>
      <c r="J128" s="18" t="n"/>
      <c r="K128" s="18" t="n"/>
      <c r="L128" s="18" t="n"/>
      <c r="M128" s="18" t="n"/>
      <c r="O128" s="18" t="n"/>
      <c r="P128" s="18" t="n"/>
      <c r="Q128" s="18" t="n"/>
    </row>
    <row r="129">
      <c r="B129" s="17" t="n"/>
      <c r="H129" s="18" t="n"/>
      <c r="I129" s="18" t="n"/>
      <c r="J129" s="18" t="n"/>
      <c r="K129" s="18" t="n"/>
      <c r="L129" s="18" t="n"/>
      <c r="M129" s="18" t="n"/>
      <c r="O129" s="18" t="n"/>
      <c r="P129" s="18" t="n"/>
      <c r="Q129" s="18" t="n"/>
    </row>
    <row r="130">
      <c r="B130" s="17" t="n"/>
      <c r="H130" s="18" t="n"/>
      <c r="I130" s="18" t="n"/>
      <c r="J130" s="18" t="n"/>
      <c r="K130" s="18" t="n"/>
      <c r="L130" s="18" t="n"/>
      <c r="M130" s="18" t="n"/>
      <c r="O130" s="18" t="n"/>
      <c r="P130" s="18" t="n"/>
      <c r="Q130" s="18" t="n"/>
    </row>
    <row r="131">
      <c r="B131" s="17" t="n"/>
      <c r="H131" s="18" t="n"/>
      <c r="I131" s="18" t="n"/>
      <c r="J131" s="18" t="n"/>
      <c r="K131" s="18" t="n"/>
      <c r="L131" s="18" t="n"/>
      <c r="M131" s="18" t="n"/>
      <c r="O131" s="18" t="n"/>
      <c r="P131" s="18" t="n"/>
      <c r="Q131" s="18" t="n"/>
    </row>
    <row r="132">
      <c r="B132" s="17" t="n"/>
      <c r="H132" s="18" t="n"/>
      <c r="I132" s="18" t="n"/>
      <c r="J132" s="18" t="n"/>
      <c r="K132" s="18" t="n"/>
      <c r="L132" s="18" t="n"/>
      <c r="M132" s="18" t="n"/>
      <c r="O132" s="18" t="n"/>
      <c r="P132" s="18" t="n"/>
      <c r="Q132" s="18" t="n"/>
    </row>
    <row r="133">
      <c r="B133" s="17" t="n"/>
      <c r="H133" s="18" t="n"/>
      <c r="I133" s="18" t="n"/>
      <c r="J133" s="18" t="n"/>
      <c r="K133" s="18" t="n"/>
      <c r="L133" s="18" t="n"/>
      <c r="M133" s="18" t="n"/>
      <c r="O133" s="18" t="n"/>
      <c r="P133" s="18" t="n"/>
      <c r="Q133" s="18" t="n"/>
    </row>
    <row r="134">
      <c r="B134" s="17" t="n"/>
      <c r="H134" s="18" t="n"/>
      <c r="I134" s="18" t="n"/>
      <c r="J134" s="18" t="n"/>
      <c r="K134" s="18" t="n"/>
      <c r="L134" s="18" t="n"/>
      <c r="M134" s="18" t="n"/>
      <c r="O134" s="18" t="n"/>
      <c r="P134" s="18" t="n"/>
      <c r="Q134" s="18" t="n"/>
    </row>
    <row r="135">
      <c r="B135" s="17" t="n"/>
      <c r="H135" s="18" t="n"/>
      <c r="I135" s="18" t="n"/>
      <c r="J135" s="18" t="n"/>
      <c r="K135" s="18" t="n"/>
      <c r="L135" s="18" t="n"/>
      <c r="M135" s="18" t="n"/>
      <c r="O135" s="18" t="n"/>
      <c r="P135" s="18" t="n"/>
      <c r="Q135" s="18" t="n"/>
    </row>
    <row r="136">
      <c r="B136" s="17" t="n"/>
      <c r="H136" s="18" t="n"/>
      <c r="I136" s="18" t="n"/>
      <c r="J136" s="18" t="n"/>
      <c r="K136" s="18" t="n"/>
      <c r="L136" s="18" t="n"/>
      <c r="M136" s="18" t="n"/>
      <c r="O136" s="18" t="n"/>
      <c r="P136" s="18" t="n"/>
      <c r="Q136" s="18" t="n"/>
    </row>
    <row r="137">
      <c r="B137" s="17" t="n"/>
      <c r="H137" s="18" t="n"/>
      <c r="I137" s="18" t="n"/>
      <c r="J137" s="18" t="n"/>
      <c r="K137" s="18" t="n"/>
      <c r="L137" s="18" t="n"/>
      <c r="M137" s="18" t="n"/>
      <c r="O137" s="18" t="n"/>
      <c r="P137" s="18" t="n"/>
      <c r="Q137" s="18" t="n"/>
    </row>
    <row r="138">
      <c r="B138" s="17" t="n"/>
      <c r="H138" s="18" t="n"/>
      <c r="I138" s="18" t="n"/>
      <c r="J138" s="18" t="n"/>
      <c r="K138" s="18" t="n"/>
      <c r="L138" s="18" t="n"/>
      <c r="M138" s="18" t="n"/>
      <c r="O138" s="18" t="n"/>
      <c r="P138" s="18" t="n"/>
      <c r="Q138" s="18" t="n"/>
    </row>
    <row r="139">
      <c r="B139" s="17" t="n"/>
      <c r="H139" s="18" t="n"/>
      <c r="I139" s="18" t="n"/>
      <c r="J139" s="18" t="n"/>
      <c r="K139" s="18" t="n"/>
      <c r="L139" s="18" t="n"/>
      <c r="M139" s="18" t="n"/>
      <c r="O139" s="18" t="n"/>
      <c r="P139" s="18" t="n"/>
      <c r="Q139" s="18" t="n"/>
    </row>
    <row r="140">
      <c r="B140" s="17" t="n"/>
      <c r="H140" s="18" t="n"/>
      <c r="I140" s="18" t="n"/>
      <c r="J140" s="18" t="n"/>
      <c r="K140" s="18" t="n"/>
      <c r="L140" s="18" t="n"/>
      <c r="M140" s="18" t="n"/>
      <c r="O140" s="18" t="n"/>
      <c r="P140" s="18" t="n"/>
      <c r="Q140" s="18" t="n"/>
    </row>
    <row r="141">
      <c r="B141" s="17" t="n"/>
      <c r="H141" s="18" t="n"/>
      <c r="I141" s="18" t="n"/>
      <c r="J141" s="18" t="n"/>
      <c r="K141" s="18" t="n"/>
      <c r="L141" s="18" t="n"/>
      <c r="M141" s="18" t="n"/>
      <c r="O141" s="18" t="n"/>
      <c r="P141" s="18" t="n"/>
      <c r="Q141" s="18" t="n"/>
    </row>
    <row r="142">
      <c r="B142" s="17" t="n"/>
      <c r="H142" s="18" t="n"/>
      <c r="I142" s="18" t="n"/>
      <c r="J142" s="18" t="n"/>
      <c r="K142" s="18" t="n"/>
      <c r="L142" s="18" t="n"/>
      <c r="M142" s="18" t="n"/>
      <c r="O142" s="18" t="n"/>
      <c r="P142" s="18" t="n"/>
      <c r="Q142" s="18" t="n"/>
    </row>
    <row r="143">
      <c r="B143" s="17" t="n"/>
      <c r="H143" s="18" t="n"/>
      <c r="I143" s="18" t="n"/>
      <c r="J143" s="18" t="n"/>
      <c r="K143" s="18" t="n"/>
      <c r="L143" s="18" t="n"/>
      <c r="M143" s="18" t="n"/>
      <c r="O143" s="18" t="n"/>
      <c r="P143" s="18" t="n"/>
      <c r="Q143" s="18" t="n"/>
    </row>
    <row r="144">
      <c r="B144" s="17" t="n"/>
      <c r="H144" s="18" t="n"/>
      <c r="I144" s="18" t="n"/>
      <c r="J144" s="18" t="n"/>
      <c r="K144" s="18" t="n"/>
      <c r="L144" s="18" t="n"/>
      <c r="M144" s="18" t="n"/>
      <c r="O144" s="18" t="n"/>
      <c r="P144" s="18" t="n"/>
      <c r="Q144" s="18" t="n"/>
    </row>
    <row r="145">
      <c r="B145" s="17" t="n"/>
      <c r="H145" s="18" t="n"/>
      <c r="I145" s="18" t="n"/>
      <c r="J145" s="18" t="n"/>
      <c r="K145" s="18" t="n"/>
      <c r="L145" s="18" t="n"/>
      <c r="M145" s="18" t="n"/>
      <c r="O145" s="18" t="n"/>
      <c r="P145" s="18" t="n"/>
      <c r="Q145" s="18" t="n"/>
    </row>
    <row r="146">
      <c r="B146" s="17" t="n"/>
      <c r="H146" s="18" t="n"/>
      <c r="I146" s="18" t="n"/>
      <c r="J146" s="18" t="n"/>
      <c r="K146" s="18" t="n"/>
      <c r="L146" s="18" t="n"/>
      <c r="M146" s="18" t="n"/>
      <c r="O146" s="18" t="n"/>
      <c r="P146" s="18" t="n"/>
      <c r="Q146" s="18" t="n"/>
    </row>
    <row r="147">
      <c r="B147" s="17" t="n"/>
      <c r="H147" s="18" t="n"/>
      <c r="I147" s="18" t="n"/>
      <c r="J147" s="18" t="n"/>
      <c r="K147" s="18" t="n"/>
      <c r="L147" s="18" t="n"/>
      <c r="M147" s="18" t="n"/>
      <c r="O147" s="18" t="n"/>
      <c r="P147" s="18" t="n"/>
      <c r="Q147" s="18" t="n"/>
    </row>
    <row r="148">
      <c r="B148" s="17" t="n"/>
      <c r="H148" s="18" t="n"/>
      <c r="I148" s="18" t="n"/>
      <c r="J148" s="18" t="n"/>
      <c r="K148" s="18" t="n"/>
      <c r="L148" s="18" t="n"/>
      <c r="M148" s="18" t="n"/>
      <c r="O148" s="18" t="n"/>
      <c r="P148" s="18" t="n"/>
      <c r="Q148" s="18" t="n"/>
    </row>
    <row r="149">
      <c r="B149" s="17" t="n"/>
      <c r="H149" s="18" t="n"/>
      <c r="I149" s="18" t="n"/>
      <c r="J149" s="18" t="n"/>
      <c r="K149" s="18" t="n"/>
      <c r="L149" s="18" t="n"/>
      <c r="M149" s="18" t="n"/>
      <c r="O149" s="18" t="n"/>
      <c r="P149" s="18" t="n"/>
      <c r="Q149" s="18" t="n"/>
    </row>
    <row r="150">
      <c r="B150" s="17" t="n"/>
      <c r="H150" s="18" t="n"/>
      <c r="I150" s="18" t="n"/>
      <c r="J150" s="18" t="n"/>
      <c r="K150" s="18" t="n"/>
      <c r="L150" s="18" t="n"/>
      <c r="M150" s="18" t="n"/>
      <c r="O150" s="18" t="n"/>
      <c r="P150" s="18" t="n"/>
      <c r="Q150" s="18" t="n"/>
    </row>
    <row r="151">
      <c r="B151" s="17" t="n"/>
      <c r="H151" s="18" t="n"/>
      <c r="I151" s="18" t="n"/>
      <c r="J151" s="18" t="n"/>
      <c r="K151" s="18" t="n"/>
      <c r="L151" s="18" t="n"/>
      <c r="M151" s="18" t="n"/>
      <c r="O151" s="18" t="n"/>
      <c r="P151" s="18" t="n"/>
      <c r="Q151" s="18" t="n"/>
    </row>
    <row r="152">
      <c r="B152" s="17" t="n"/>
      <c r="H152" s="18" t="n"/>
      <c r="I152" s="18" t="n"/>
      <c r="J152" s="18" t="n"/>
      <c r="K152" s="18" t="n"/>
      <c r="L152" s="18" t="n"/>
      <c r="M152" s="18" t="n"/>
      <c r="O152" s="18" t="n"/>
      <c r="P152" s="18" t="n"/>
      <c r="Q152" s="18" t="n"/>
    </row>
    <row r="153">
      <c r="B153" s="17" t="n"/>
      <c r="H153" s="18" t="n"/>
      <c r="I153" s="18" t="n"/>
      <c r="J153" s="18" t="n"/>
      <c r="K153" s="18" t="n"/>
      <c r="L153" s="18" t="n"/>
      <c r="M153" s="18" t="n"/>
      <c r="O153" s="18" t="n"/>
      <c r="P153" s="18" t="n"/>
      <c r="Q153" s="18" t="n"/>
    </row>
    <row r="154">
      <c r="B154" s="17" t="n"/>
      <c r="H154" s="18" t="n"/>
      <c r="I154" s="18" t="n"/>
      <c r="J154" s="18" t="n"/>
      <c r="K154" s="18" t="n"/>
      <c r="L154" s="18" t="n"/>
      <c r="M154" s="18" t="n"/>
      <c r="O154" s="18" t="n"/>
      <c r="P154" s="18" t="n"/>
      <c r="Q154" s="18" t="n"/>
    </row>
    <row r="155">
      <c r="B155" s="17" t="n"/>
      <c r="H155" s="18" t="n"/>
      <c r="I155" s="18" t="n"/>
      <c r="J155" s="18" t="n"/>
      <c r="K155" s="18" t="n"/>
      <c r="L155" s="18" t="n"/>
      <c r="M155" s="18" t="n"/>
      <c r="O155" s="18" t="n"/>
      <c r="P155" s="18" t="n"/>
      <c r="Q155" s="18" t="n"/>
    </row>
    <row r="156">
      <c r="B156" s="17" t="n"/>
      <c r="H156" s="18" t="n"/>
      <c r="I156" s="18" t="n"/>
      <c r="J156" s="18" t="n"/>
      <c r="K156" s="18" t="n"/>
      <c r="L156" s="18" t="n"/>
      <c r="M156" s="18" t="n"/>
      <c r="O156" s="18" t="n"/>
      <c r="P156" s="18" t="n"/>
      <c r="Q156" s="18" t="n"/>
    </row>
    <row r="157">
      <c r="B157" s="17" t="n"/>
      <c r="H157" s="18" t="n"/>
      <c r="I157" s="18" t="n"/>
      <c r="J157" s="18" t="n"/>
      <c r="K157" s="18" t="n"/>
      <c r="L157" s="18" t="n"/>
      <c r="M157" s="18" t="n"/>
      <c r="O157" s="18" t="n"/>
      <c r="P157" s="18" t="n"/>
      <c r="Q157" s="18" t="n"/>
    </row>
    <row r="158">
      <c r="B158" s="17" t="n"/>
      <c r="H158" s="18" t="n"/>
      <c r="I158" s="18" t="n"/>
      <c r="J158" s="18" t="n"/>
      <c r="K158" s="18" t="n"/>
      <c r="L158" s="18" t="n"/>
      <c r="M158" s="18" t="n"/>
      <c r="O158" s="18" t="n"/>
      <c r="P158" s="18" t="n"/>
      <c r="Q158" s="18" t="n"/>
    </row>
    <row r="159">
      <c r="B159" s="17" t="n"/>
      <c r="H159" s="18" t="n"/>
      <c r="I159" s="18" t="n"/>
      <c r="J159" s="18" t="n"/>
      <c r="K159" s="18" t="n"/>
      <c r="L159" s="18" t="n"/>
      <c r="M159" s="18" t="n"/>
      <c r="O159" s="18" t="n"/>
      <c r="P159" s="18" t="n"/>
      <c r="Q159" s="18" t="n"/>
    </row>
    <row r="160">
      <c r="B160" s="17" t="n"/>
      <c r="H160" s="18" t="n"/>
      <c r="I160" s="18" t="n"/>
      <c r="J160" s="18" t="n"/>
      <c r="K160" s="18" t="n"/>
      <c r="L160" s="18" t="n"/>
      <c r="M160" s="18" t="n"/>
      <c r="O160" s="18" t="n"/>
      <c r="P160" s="18" t="n"/>
      <c r="Q160" s="18" t="n"/>
    </row>
    <row r="161">
      <c r="B161" s="17" t="n"/>
      <c r="H161" s="18" t="n"/>
      <c r="I161" s="18" t="n"/>
      <c r="J161" s="18" t="n"/>
      <c r="K161" s="18" t="n"/>
      <c r="L161" s="18" t="n"/>
      <c r="M161" s="18" t="n"/>
      <c r="O161" s="18" t="n"/>
      <c r="P161" s="18" t="n"/>
      <c r="Q161" s="18" t="n"/>
    </row>
    <row r="162">
      <c r="B162" s="17" t="n"/>
      <c r="H162" s="18" t="n"/>
      <c r="I162" s="18" t="n"/>
      <c r="J162" s="18" t="n"/>
      <c r="K162" s="18" t="n"/>
      <c r="L162" s="18" t="n"/>
      <c r="M162" s="18" t="n"/>
      <c r="O162" s="18" t="n"/>
      <c r="P162" s="18" t="n"/>
      <c r="Q162" s="18" t="n"/>
    </row>
    <row r="163">
      <c r="B163" s="17" t="n"/>
      <c r="H163" s="18" t="n"/>
      <c r="I163" s="18" t="n"/>
      <c r="J163" s="18" t="n"/>
      <c r="K163" s="18" t="n"/>
      <c r="L163" s="18" t="n"/>
      <c r="M163" s="18" t="n"/>
      <c r="O163" s="18" t="n"/>
      <c r="P163" s="18" t="n"/>
      <c r="Q163" s="18" t="n"/>
    </row>
    <row r="164">
      <c r="B164" s="17" t="n"/>
      <c r="H164" s="18" t="n"/>
      <c r="I164" s="18" t="n"/>
      <c r="J164" s="18" t="n"/>
      <c r="K164" s="18" t="n"/>
      <c r="L164" s="18" t="n"/>
      <c r="M164" s="18" t="n"/>
      <c r="O164" s="18" t="n"/>
      <c r="P164" s="18" t="n"/>
      <c r="Q164" s="18" t="n"/>
    </row>
    <row r="165">
      <c r="B165" s="17" t="n"/>
      <c r="H165" s="18" t="n"/>
      <c r="I165" s="18" t="n"/>
      <c r="J165" s="18" t="n"/>
      <c r="K165" s="18" t="n"/>
      <c r="L165" s="18" t="n"/>
      <c r="M165" s="18" t="n"/>
      <c r="O165" s="18" t="n"/>
      <c r="P165" s="18" t="n"/>
      <c r="Q165" s="18" t="n"/>
    </row>
    <row r="166">
      <c r="B166" s="17" t="n"/>
      <c r="H166" s="18" t="n"/>
      <c r="I166" s="18" t="n"/>
      <c r="J166" s="18" t="n"/>
      <c r="K166" s="18" t="n"/>
      <c r="L166" s="18" t="n"/>
      <c r="M166" s="18" t="n"/>
      <c r="O166" s="18" t="n"/>
      <c r="P166" s="18" t="n"/>
      <c r="Q166" s="18" t="n"/>
    </row>
    <row r="167">
      <c r="B167" s="17" t="n"/>
      <c r="H167" s="18" t="n"/>
      <c r="I167" s="18" t="n"/>
      <c r="J167" s="18" t="n"/>
      <c r="K167" s="18" t="n"/>
      <c r="L167" s="18" t="n"/>
      <c r="M167" s="18" t="n"/>
      <c r="O167" s="18" t="n"/>
      <c r="P167" s="18" t="n"/>
      <c r="Q167" s="18" t="n"/>
    </row>
    <row r="168">
      <c r="B168" s="17" t="n"/>
      <c r="H168" s="18" t="n"/>
      <c r="I168" s="18" t="n"/>
      <c r="J168" s="18" t="n"/>
      <c r="K168" s="18" t="n"/>
      <c r="L168" s="18" t="n"/>
      <c r="M168" s="18" t="n"/>
      <c r="O168" s="18" t="n"/>
      <c r="P168" s="18" t="n"/>
      <c r="Q168" s="18" t="n"/>
    </row>
    <row r="169">
      <c r="B169" s="17" t="n"/>
      <c r="H169" s="18" t="n"/>
      <c r="I169" s="18" t="n"/>
      <c r="J169" s="18" t="n"/>
      <c r="K169" s="18" t="n"/>
      <c r="L169" s="18" t="n"/>
      <c r="M169" s="18" t="n"/>
      <c r="O169" s="18" t="n"/>
      <c r="P169" s="18" t="n"/>
      <c r="Q169" s="18" t="n"/>
    </row>
    <row r="170">
      <c r="B170" s="17" t="n"/>
      <c r="H170" s="18" t="n"/>
      <c r="I170" s="18" t="n"/>
      <c r="J170" s="18" t="n"/>
      <c r="K170" s="18" t="n"/>
      <c r="L170" s="18" t="n"/>
      <c r="M170" s="18" t="n"/>
      <c r="O170" s="18" t="n"/>
      <c r="P170" s="18" t="n"/>
      <c r="Q170" s="18" t="n"/>
    </row>
    <row r="171">
      <c r="B171" s="17" t="n"/>
      <c r="H171" s="18" t="n"/>
      <c r="I171" s="18" t="n"/>
      <c r="J171" s="18" t="n"/>
      <c r="K171" s="18" t="n"/>
      <c r="L171" s="18" t="n"/>
      <c r="M171" s="18" t="n"/>
      <c r="O171" s="18" t="n"/>
      <c r="P171" s="18" t="n"/>
      <c r="Q171" s="18" t="n"/>
    </row>
    <row r="172">
      <c r="B172" s="17" t="n"/>
      <c r="H172" s="18" t="n"/>
      <c r="I172" s="18" t="n"/>
      <c r="J172" s="18" t="n"/>
      <c r="K172" s="18" t="n"/>
      <c r="L172" s="18" t="n"/>
      <c r="M172" s="18" t="n"/>
      <c r="O172" s="18" t="n"/>
      <c r="P172" s="18" t="n"/>
      <c r="Q172" s="18" t="n"/>
    </row>
    <row r="173">
      <c r="B173" s="17" t="n"/>
      <c r="H173" s="18" t="n"/>
      <c r="I173" s="18" t="n"/>
      <c r="J173" s="18" t="n"/>
      <c r="K173" s="18" t="n"/>
      <c r="L173" s="18" t="n"/>
      <c r="M173" s="18" t="n"/>
      <c r="O173" s="18" t="n"/>
      <c r="P173" s="18" t="n"/>
      <c r="Q173" s="18" t="n"/>
    </row>
    <row r="174">
      <c r="B174" s="17" t="n"/>
      <c r="H174" s="18" t="n"/>
      <c r="I174" s="18" t="n"/>
      <c r="J174" s="18" t="n"/>
      <c r="K174" s="18" t="n"/>
      <c r="L174" s="18" t="n"/>
      <c r="M174" s="18" t="n"/>
      <c r="O174" s="18" t="n"/>
      <c r="P174" s="18" t="n"/>
      <c r="Q174" s="18" t="n"/>
    </row>
    <row r="175">
      <c r="B175" s="17" t="n"/>
      <c r="H175" s="18" t="n"/>
      <c r="I175" s="18" t="n"/>
      <c r="J175" s="18" t="n"/>
      <c r="K175" s="18" t="n"/>
      <c r="L175" s="18" t="n"/>
      <c r="M175" s="18" t="n"/>
      <c r="O175" s="18" t="n"/>
      <c r="P175" s="18" t="n"/>
      <c r="Q175" s="18" t="n"/>
    </row>
    <row r="176">
      <c r="B176" s="17" t="n"/>
      <c r="H176" s="18" t="n"/>
      <c r="I176" s="18" t="n"/>
      <c r="J176" s="18" t="n"/>
      <c r="K176" s="18" t="n"/>
      <c r="L176" s="18" t="n"/>
      <c r="M176" s="18" t="n"/>
      <c r="O176" s="18" t="n"/>
      <c r="P176" s="18" t="n"/>
      <c r="Q176" s="18" t="n"/>
    </row>
    <row r="177">
      <c r="B177" s="17" t="n"/>
      <c r="H177" s="18" t="n"/>
      <c r="I177" s="18" t="n"/>
      <c r="J177" s="18" t="n"/>
      <c r="K177" s="18" t="n"/>
      <c r="L177" s="18" t="n"/>
      <c r="M177" s="18" t="n"/>
      <c r="O177" s="18" t="n"/>
      <c r="P177" s="18" t="n"/>
      <c r="Q177" s="18" t="n"/>
    </row>
    <row r="178">
      <c r="B178" s="17" t="n"/>
      <c r="H178" s="18" t="n"/>
      <c r="I178" s="18" t="n"/>
      <c r="J178" s="18" t="n"/>
      <c r="K178" s="18" t="n"/>
      <c r="L178" s="18" t="n"/>
      <c r="M178" s="18" t="n"/>
      <c r="O178" s="18" t="n"/>
      <c r="P178" s="18" t="n"/>
      <c r="Q178" s="18" t="n"/>
    </row>
    <row r="179">
      <c r="B179" s="17" t="n"/>
      <c r="H179" s="18" t="n"/>
      <c r="I179" s="18" t="n"/>
      <c r="J179" s="18" t="n"/>
      <c r="K179" s="18" t="n"/>
      <c r="L179" s="18" t="n"/>
      <c r="M179" s="18" t="n"/>
      <c r="O179" s="18" t="n"/>
      <c r="P179" s="18" t="n"/>
      <c r="Q179" s="18" t="n"/>
    </row>
    <row r="180">
      <c r="B180" s="17" t="n"/>
      <c r="H180" s="18" t="n"/>
      <c r="I180" s="18" t="n"/>
      <c r="J180" s="18" t="n"/>
      <c r="K180" s="18" t="n"/>
      <c r="L180" s="18" t="n"/>
      <c r="M180" s="18" t="n"/>
      <c r="O180" s="18" t="n"/>
      <c r="P180" s="18" t="n"/>
      <c r="Q180" s="18" t="n"/>
    </row>
    <row r="181">
      <c r="B181" s="17" t="n"/>
      <c r="H181" s="18" t="n"/>
      <c r="I181" s="18" t="n"/>
      <c r="J181" s="18" t="n"/>
      <c r="K181" s="18" t="n"/>
      <c r="L181" s="18" t="n"/>
      <c r="M181" s="18" t="n"/>
      <c r="O181" s="18" t="n"/>
      <c r="P181" s="18" t="n"/>
      <c r="Q181" s="18" t="n"/>
    </row>
    <row r="182">
      <c r="B182" s="17" t="n"/>
      <c r="H182" s="18" t="n"/>
      <c r="I182" s="18" t="n"/>
      <c r="J182" s="18" t="n"/>
      <c r="K182" s="18" t="n"/>
      <c r="L182" s="18" t="n"/>
      <c r="M182" s="18" t="n"/>
      <c r="O182" s="18" t="n"/>
      <c r="P182" s="18" t="n"/>
      <c r="Q182" s="18" t="n"/>
    </row>
    <row r="183">
      <c r="B183" s="17" t="n"/>
      <c r="H183" s="18" t="n"/>
      <c r="I183" s="18" t="n"/>
      <c r="J183" s="18" t="n"/>
      <c r="K183" s="18" t="n"/>
      <c r="L183" s="18" t="n"/>
      <c r="M183" s="18" t="n"/>
      <c r="O183" s="18" t="n"/>
      <c r="P183" s="18" t="n"/>
      <c r="Q183" s="18" t="n"/>
    </row>
    <row r="184">
      <c r="B184" s="17" t="n"/>
      <c r="H184" s="18" t="n"/>
      <c r="I184" s="18" t="n"/>
      <c r="J184" s="18" t="n"/>
      <c r="K184" s="18" t="n"/>
      <c r="L184" s="18" t="n"/>
      <c r="M184" s="18" t="n"/>
      <c r="O184" s="18" t="n"/>
      <c r="P184" s="18" t="n"/>
      <c r="Q184" s="18" t="n"/>
    </row>
    <row r="185">
      <c r="B185" s="17" t="n"/>
      <c r="H185" s="18" t="n"/>
      <c r="I185" s="18" t="n"/>
      <c r="J185" s="18" t="n"/>
      <c r="K185" s="18" t="n"/>
      <c r="L185" s="18" t="n"/>
      <c r="M185" s="18" t="n"/>
      <c r="O185" s="18" t="n"/>
      <c r="P185" s="18" t="n"/>
      <c r="Q185" s="18" t="n"/>
    </row>
    <row r="186">
      <c r="B186" s="17" t="n"/>
      <c r="H186" s="18" t="n"/>
      <c r="I186" s="18" t="n"/>
      <c r="J186" s="18" t="n"/>
      <c r="K186" s="18" t="n"/>
      <c r="L186" s="18" t="n"/>
      <c r="M186" s="18" t="n"/>
      <c r="O186" s="18" t="n"/>
      <c r="P186" s="18" t="n"/>
      <c r="Q186" s="18" t="n"/>
    </row>
    <row r="187">
      <c r="B187" s="17" t="n"/>
      <c r="H187" s="18" t="n"/>
      <c r="I187" s="18" t="n"/>
      <c r="J187" s="18" t="n"/>
      <c r="K187" s="18" t="n"/>
      <c r="L187" s="18" t="n"/>
      <c r="M187" s="18" t="n"/>
      <c r="O187" s="18" t="n"/>
      <c r="P187" s="18" t="n"/>
      <c r="Q187" s="18" t="n"/>
    </row>
    <row r="188">
      <c r="B188" s="17" t="n"/>
      <c r="H188" s="18" t="n"/>
      <c r="I188" s="18" t="n"/>
      <c r="J188" s="18" t="n"/>
      <c r="K188" s="18" t="n"/>
      <c r="L188" s="18" t="n"/>
      <c r="M188" s="18" t="n"/>
      <c r="O188" s="18" t="n"/>
      <c r="P188" s="18" t="n"/>
      <c r="Q188" s="18" t="n"/>
    </row>
    <row r="189">
      <c r="B189" s="17" t="n"/>
      <c r="H189" s="18" t="n"/>
      <c r="I189" s="18" t="n"/>
      <c r="J189" s="18" t="n"/>
      <c r="K189" s="18" t="n"/>
      <c r="L189" s="18" t="n"/>
      <c r="M189" s="18" t="n"/>
      <c r="O189" s="18" t="n"/>
      <c r="P189" s="18" t="n"/>
      <c r="Q189" s="18" t="n"/>
    </row>
    <row r="190">
      <c r="B190" s="17" t="n"/>
      <c r="H190" s="18" t="n"/>
      <c r="I190" s="18" t="n"/>
      <c r="J190" s="18" t="n"/>
      <c r="K190" s="18" t="n"/>
      <c r="L190" s="18" t="n"/>
      <c r="M190" s="18" t="n"/>
      <c r="O190" s="18" t="n"/>
      <c r="P190" s="18" t="n"/>
      <c r="Q190" s="18" t="n"/>
    </row>
    <row r="191">
      <c r="B191" s="17" t="n"/>
      <c r="H191" s="18" t="n"/>
      <c r="I191" s="18" t="n"/>
      <c r="J191" s="18" t="n"/>
      <c r="K191" s="18" t="n"/>
      <c r="L191" s="18" t="n"/>
      <c r="M191" s="18" t="n"/>
      <c r="O191" s="18" t="n"/>
      <c r="P191" s="18" t="n"/>
      <c r="Q191" s="18" t="n"/>
    </row>
    <row r="192">
      <c r="B192" s="17" t="n"/>
      <c r="H192" s="18" t="n"/>
      <c r="I192" s="18" t="n"/>
      <c r="J192" s="18" t="n"/>
      <c r="K192" s="18" t="n"/>
      <c r="L192" s="18" t="n"/>
      <c r="M192" s="18" t="n"/>
      <c r="O192" s="18" t="n"/>
      <c r="P192" s="18" t="n"/>
      <c r="Q192" s="18" t="n"/>
    </row>
    <row r="193">
      <c r="B193" s="17" t="n"/>
      <c r="H193" s="18" t="n"/>
      <c r="I193" s="18" t="n"/>
      <c r="J193" s="18" t="n"/>
      <c r="K193" s="18" t="n"/>
      <c r="L193" s="18" t="n"/>
      <c r="M193" s="18" t="n"/>
      <c r="O193" s="18" t="n"/>
      <c r="P193" s="18" t="n"/>
      <c r="Q193" s="18" t="n"/>
    </row>
    <row r="194">
      <c r="B194" s="17" t="n"/>
      <c r="H194" s="18" t="n"/>
      <c r="I194" s="18" t="n"/>
      <c r="J194" s="18" t="n"/>
      <c r="K194" s="18" t="n"/>
      <c r="L194" s="18" t="n"/>
      <c r="M194" s="18" t="n"/>
      <c r="O194" s="18" t="n"/>
      <c r="P194" s="18" t="n"/>
      <c r="Q194" s="18" t="n"/>
    </row>
    <row r="195">
      <c r="B195" s="17" t="n"/>
      <c r="H195" s="18" t="n"/>
      <c r="I195" s="18" t="n"/>
      <c r="J195" s="18" t="n"/>
      <c r="K195" s="18" t="n"/>
      <c r="L195" s="18" t="n"/>
      <c r="M195" s="18" t="n"/>
      <c r="O195" s="18" t="n"/>
      <c r="P195" s="18" t="n"/>
      <c r="Q195" s="18" t="n"/>
    </row>
    <row r="196">
      <c r="B196" s="17" t="n"/>
      <c r="H196" s="18" t="n"/>
      <c r="I196" s="18" t="n"/>
      <c r="J196" s="18" t="n"/>
      <c r="K196" s="18" t="n"/>
      <c r="L196" s="18" t="n"/>
      <c r="M196" s="18" t="n"/>
      <c r="O196" s="18" t="n"/>
      <c r="P196" s="18" t="n"/>
      <c r="Q196" s="18" t="n"/>
    </row>
    <row r="197">
      <c r="B197" s="17" t="n"/>
      <c r="H197" s="18" t="n"/>
      <c r="I197" s="18" t="n"/>
      <c r="J197" s="18" t="n"/>
      <c r="K197" s="18" t="n"/>
      <c r="L197" s="18" t="n"/>
      <c r="M197" s="18" t="n"/>
      <c r="O197" s="18" t="n"/>
      <c r="P197" s="18" t="n"/>
      <c r="Q197" s="18" t="n"/>
    </row>
    <row r="198">
      <c r="B198" s="17" t="n"/>
      <c r="H198" s="18" t="n"/>
      <c r="I198" s="18" t="n"/>
      <c r="J198" s="18" t="n"/>
      <c r="K198" s="18" t="n"/>
      <c r="L198" s="18" t="n"/>
      <c r="M198" s="18" t="n"/>
      <c r="O198" s="18" t="n"/>
      <c r="P198" s="18" t="n"/>
      <c r="Q198" s="18" t="n"/>
    </row>
    <row r="199">
      <c r="B199" s="17" t="n"/>
      <c r="H199" s="18" t="n"/>
      <c r="I199" s="18" t="n"/>
      <c r="J199" s="18" t="n"/>
      <c r="K199" s="18" t="n"/>
      <c r="L199" s="18" t="n"/>
      <c r="M199" s="18" t="n"/>
      <c r="O199" s="18" t="n"/>
      <c r="P199" s="18" t="n"/>
      <c r="Q199" s="18" t="n"/>
    </row>
    <row r="200">
      <c r="B200" s="17" t="n"/>
      <c r="H200" s="18" t="n"/>
      <c r="I200" s="18" t="n"/>
      <c r="J200" s="18" t="n"/>
      <c r="K200" s="18" t="n"/>
      <c r="L200" s="18" t="n"/>
      <c r="M200" s="18" t="n"/>
      <c r="O200" s="18" t="n"/>
      <c r="P200" s="18" t="n"/>
      <c r="Q200" s="18" t="n"/>
    </row>
    <row r="201">
      <c r="B201" s="17" t="n"/>
      <c r="H201" s="18" t="n"/>
      <c r="I201" s="18" t="n"/>
      <c r="J201" s="18" t="n"/>
      <c r="K201" s="18" t="n"/>
      <c r="L201" s="18" t="n"/>
      <c r="M201" s="18" t="n"/>
      <c r="O201" s="18" t="n"/>
      <c r="P201" s="18" t="n"/>
      <c r="Q201" s="18" t="n"/>
    </row>
  </sheetData>
  <autoFilter ref="A1:S201"/>
  <conditionalFormatting sqref="Q2:Q201">
    <cfRule type="cellIs" priority="1" operator="lessThan" dxfId="2">
      <formula>0</formula>
    </cfRule>
    <cfRule type="cellIs" priority="2" operator="greaterThan" dxfId="3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40" customWidth="1" min="3" max="3"/>
    <col width="22" customWidth="1" min="4" max="4"/>
    <col width="11" customWidth="1" min="5" max="5"/>
    <col width="14" customWidth="1" min="6" max="6"/>
    <col width="24" customWidth="1" min="7" max="7"/>
    <col width="12" customWidth="1" min="8" max="8"/>
    <col width="34" customWidth="1" min="9" max="9"/>
  </cols>
  <sheetData>
    <row r="1" ht="30" customHeight="1">
      <c r="A1" s="16" t="inlineStr">
        <is>
          <t>Date</t>
        </is>
      </c>
      <c r="B1" s="16" t="inlineStr">
        <is>
          <t>Category</t>
        </is>
      </c>
      <c r="C1" s="16" t="inlineStr">
        <is>
          <t>What</t>
        </is>
      </c>
      <c r="D1" s="16" t="inlineStr">
        <is>
          <t>Vendor</t>
        </is>
      </c>
      <c r="E1" s="16" t="inlineStr">
        <is>
          <t>Amount</t>
        </is>
      </c>
      <c r="F1" s="16" t="inlineStr">
        <is>
          <t>Paid with</t>
        </is>
      </c>
      <c r="G1" s="16" t="inlineStr">
        <is>
          <t>Receipt file</t>
        </is>
      </c>
      <c r="H1" s="16" t="inlineStr">
        <is>
          <t>Deductible</t>
        </is>
      </c>
      <c r="I1" s="16" t="inlineStr">
        <is>
          <t>Notes</t>
        </is>
      </c>
    </row>
    <row r="2">
      <c r="A2" s="17" t="n"/>
      <c r="E2" s="18" t="n"/>
    </row>
    <row r="3">
      <c r="A3" s="17" t="n"/>
      <c r="E3" s="18" t="n"/>
    </row>
    <row r="4">
      <c r="A4" s="17" t="n"/>
      <c r="E4" s="18" t="n"/>
    </row>
    <row r="5">
      <c r="A5" s="17" t="n"/>
      <c r="E5" s="18" t="n"/>
    </row>
    <row r="6">
      <c r="A6" s="17" t="n"/>
      <c r="E6" s="18" t="n"/>
    </row>
    <row r="7">
      <c r="A7" s="17" t="n"/>
      <c r="E7" s="18" t="n"/>
    </row>
    <row r="8">
      <c r="A8" s="17" t="n"/>
      <c r="E8" s="18" t="n"/>
    </row>
    <row r="9">
      <c r="A9" s="17" t="n"/>
      <c r="E9" s="18" t="n"/>
    </row>
    <row r="10">
      <c r="A10" s="17" t="n"/>
      <c r="E10" s="18" t="n"/>
    </row>
    <row r="11">
      <c r="A11" s="17" t="n"/>
      <c r="E11" s="18" t="n"/>
    </row>
    <row r="12">
      <c r="A12" s="17" t="n"/>
      <c r="E12" s="18" t="n"/>
    </row>
    <row r="13">
      <c r="A13" s="17" t="n"/>
      <c r="E13" s="18" t="n"/>
    </row>
    <row r="14">
      <c r="A14" s="17" t="n"/>
      <c r="E14" s="18" t="n"/>
    </row>
    <row r="15">
      <c r="A15" s="17" t="n"/>
      <c r="E15" s="18" t="n"/>
    </row>
    <row r="16">
      <c r="A16" s="17" t="n"/>
      <c r="E16" s="18" t="n"/>
    </row>
    <row r="17">
      <c r="A17" s="17" t="n"/>
      <c r="E17" s="18" t="n"/>
    </row>
    <row r="18">
      <c r="A18" s="17" t="n"/>
      <c r="E18" s="18" t="n"/>
    </row>
    <row r="19">
      <c r="A19" s="17" t="n"/>
      <c r="E19" s="18" t="n"/>
    </row>
    <row r="20">
      <c r="A20" s="17" t="n"/>
      <c r="E20" s="18" t="n"/>
    </row>
    <row r="21">
      <c r="A21" s="17" t="n"/>
      <c r="E21" s="18" t="n"/>
    </row>
    <row r="22">
      <c r="A22" s="17" t="n"/>
      <c r="E22" s="18" t="n"/>
    </row>
    <row r="23">
      <c r="A23" s="17" t="n"/>
      <c r="E23" s="18" t="n"/>
    </row>
    <row r="24">
      <c r="A24" s="17" t="n"/>
      <c r="E24" s="18" t="n"/>
    </row>
    <row r="25">
      <c r="A25" s="17" t="n"/>
      <c r="E25" s="18" t="n"/>
    </row>
    <row r="26">
      <c r="A26" s="17" t="n"/>
      <c r="E26" s="18" t="n"/>
    </row>
    <row r="27">
      <c r="A27" s="17" t="n"/>
      <c r="E27" s="18" t="n"/>
    </row>
    <row r="28">
      <c r="A28" s="17" t="n"/>
      <c r="E28" s="18" t="n"/>
    </row>
    <row r="29">
      <c r="A29" s="17" t="n"/>
      <c r="E29" s="18" t="n"/>
    </row>
    <row r="30">
      <c r="A30" s="17" t="n"/>
      <c r="E30" s="18" t="n"/>
    </row>
    <row r="31">
      <c r="A31" s="17" t="n"/>
      <c r="E31" s="18" t="n"/>
    </row>
    <row r="32">
      <c r="A32" s="17" t="n"/>
      <c r="E32" s="18" t="n"/>
    </row>
    <row r="33">
      <c r="A33" s="17" t="n"/>
      <c r="E33" s="18" t="n"/>
    </row>
    <row r="34">
      <c r="A34" s="17" t="n"/>
      <c r="E34" s="18" t="n"/>
    </row>
    <row r="35">
      <c r="A35" s="17" t="n"/>
      <c r="E35" s="18" t="n"/>
    </row>
    <row r="36">
      <c r="A36" s="17" t="n"/>
      <c r="E36" s="18" t="n"/>
    </row>
    <row r="37">
      <c r="A37" s="17" t="n"/>
      <c r="E37" s="18" t="n"/>
    </row>
    <row r="38">
      <c r="A38" s="17" t="n"/>
      <c r="E38" s="18" t="n"/>
    </row>
    <row r="39">
      <c r="A39" s="17" t="n"/>
      <c r="E39" s="18" t="n"/>
    </row>
    <row r="40">
      <c r="A40" s="17" t="n"/>
      <c r="E40" s="18" t="n"/>
    </row>
    <row r="41">
      <c r="A41" s="17" t="n"/>
      <c r="E41" s="18" t="n"/>
    </row>
    <row r="42">
      <c r="A42" s="17" t="n"/>
      <c r="E42" s="18" t="n"/>
    </row>
    <row r="43">
      <c r="A43" s="17" t="n"/>
      <c r="E43" s="18" t="n"/>
    </row>
    <row r="44">
      <c r="A44" s="17" t="n"/>
      <c r="E44" s="18" t="n"/>
    </row>
    <row r="45">
      <c r="A45" s="17" t="n"/>
      <c r="E45" s="18" t="n"/>
    </row>
    <row r="46">
      <c r="A46" s="17" t="n"/>
      <c r="E46" s="18" t="n"/>
    </row>
    <row r="47">
      <c r="A47" s="17" t="n"/>
      <c r="E47" s="18" t="n"/>
    </row>
    <row r="48">
      <c r="A48" s="17" t="n"/>
      <c r="E48" s="18" t="n"/>
    </row>
    <row r="49">
      <c r="A49" s="17" t="n"/>
      <c r="E49" s="18" t="n"/>
    </row>
    <row r="50">
      <c r="A50" s="17" t="n"/>
      <c r="E50" s="18" t="n"/>
    </row>
    <row r="51">
      <c r="A51" s="17" t="n"/>
      <c r="E51" s="18" t="n"/>
    </row>
    <row r="52">
      <c r="A52" s="17" t="n"/>
      <c r="E52" s="18" t="n"/>
    </row>
    <row r="53">
      <c r="A53" s="17" t="n"/>
      <c r="E53" s="18" t="n"/>
    </row>
    <row r="54">
      <c r="A54" s="17" t="n"/>
      <c r="E54" s="18" t="n"/>
    </row>
    <row r="55">
      <c r="A55" s="17" t="n"/>
      <c r="E55" s="18" t="n"/>
    </row>
    <row r="56">
      <c r="A56" s="17" t="n"/>
      <c r="E56" s="18" t="n"/>
    </row>
    <row r="57">
      <c r="A57" s="17" t="n"/>
      <c r="E57" s="18" t="n"/>
    </row>
    <row r="58">
      <c r="A58" s="17" t="n"/>
      <c r="E58" s="18" t="n"/>
    </row>
    <row r="59">
      <c r="A59" s="17" t="n"/>
      <c r="E59" s="18" t="n"/>
    </row>
    <row r="60">
      <c r="A60" s="17" t="n"/>
      <c r="E60" s="18" t="n"/>
    </row>
    <row r="61">
      <c r="A61" s="17" t="n"/>
      <c r="E61" s="18" t="n"/>
    </row>
    <row r="63">
      <c r="A63" s="14" t="inlineStr">
        <is>
          <t>The costs that are not a card.</t>
        </is>
      </c>
    </row>
    <row r="64">
      <c r="A64" s="8" t="inlineStr">
        <is>
          <t>Toploaders, sleeves, bubble mailers, stamps, the scanner, a subscription. These are what turn a gross profit into a real one, and they are the first thing forgotten.
Anything bought as part of a buying trip can go on Purchases instead -- the Summary adds both, so it is counted once either way.
Deductible is your call and worth marking as you go rather than reconstructing it in April.</t>
        </is>
      </c>
    </row>
    <row r="65"/>
    <row r="66"/>
    <row r="67"/>
    <row r="68"/>
  </sheetData>
  <mergeCells count="1">
    <mergeCell ref="A64:E68"/>
  </mergeCells>
  <dataValidations count="2">
    <dataValidation sqref="B2:B61" showDropDown="0" showInputMessage="0" showErrorMessage="0" allowBlank="1" type="list">
      <formula1>"Supplies,Shipping,Postage,Fees,Software,Subscription,Mileage,Equipment,Other"</formula1>
    </dataValidation>
    <dataValidation sqref="H2:H6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4" customWidth="1" min="4" max="4"/>
    <col width="11" customWidth="1" min="5" max="5"/>
    <col width="15" customWidth="1" min="6" max="6"/>
    <col width="11" customWidth="1" min="7" max="7"/>
    <col width="10" customWidth="1" min="8" max="8"/>
    <col width="13" customWidth="1" min="9" max="9"/>
    <col width="10" customWidth="1" min="10" max="10"/>
    <col width="11" customWidth="1" min="11" max="11"/>
    <col width="11" customWidth="1" min="12" max="12"/>
    <col width="11" customWidth="1" min="13" max="13"/>
    <col width="9" customWidth="1" min="14" max="14"/>
    <col width="34" customWidth="1" min="15" max="15"/>
  </cols>
  <sheetData>
    <row r="1" ht="30" customHeight="1">
      <c r="A1" s="16" t="inlineStr">
        <is>
          <t>Date sold</t>
        </is>
      </c>
      <c r="B1" s="16" t="inlineStr">
        <is>
          <t>SKU</t>
        </is>
      </c>
      <c r="C1" s="16" t="inlineStr">
        <is>
          <t>What it was</t>
        </is>
      </c>
      <c r="D1" s="16" t="inlineStr">
        <is>
          <t>Channel</t>
        </is>
      </c>
      <c r="E1" s="16" t="inlineStr">
        <is>
          <t>Sale price</t>
        </is>
      </c>
      <c r="F1" s="16" t="inlineStr">
        <is>
          <t>Shipping charged</t>
        </is>
      </c>
      <c r="G1" s="16" t="inlineStr">
        <is>
          <t>Gross</t>
        </is>
      </c>
      <c r="H1" s="16" t="inlineStr">
        <is>
          <t>Fees</t>
        </is>
      </c>
      <c r="I1" s="16" t="inlineStr">
        <is>
          <t>Shipping cost</t>
        </is>
      </c>
      <c r="J1" s="16" t="inlineStr">
        <is>
          <t>Supplies</t>
        </is>
      </c>
      <c r="K1" s="16" t="inlineStr">
        <is>
          <t>Net</t>
        </is>
      </c>
      <c r="L1" s="16" t="inlineStr">
        <is>
          <t>Cost basis</t>
        </is>
      </c>
      <c r="M1" s="16" t="inlineStr">
        <is>
          <t>Profit</t>
        </is>
      </c>
      <c r="N1" s="16" t="inlineStr">
        <is>
          <t>Margin</t>
        </is>
      </c>
      <c r="O1" s="16" t="inlineStr">
        <is>
          <t>Notes</t>
        </is>
      </c>
    </row>
    <row r="2">
      <c r="A2" s="17" t="n"/>
      <c r="E2" s="18" t="n"/>
      <c r="F2" s="18" t="n"/>
      <c r="G2" s="18">
        <f>ARRAYFORMULA(IF(E2:E="","",E2:E+N(F2:F)))</f>
        <v/>
      </c>
      <c r="H2" s="18" t="n"/>
      <c r="I2" s="18" t="n"/>
      <c r="J2" s="18" t="n"/>
      <c r="K2" s="18">
        <f>ARRAYFORMULA(IF(G2:G="","",G2:G-N(H2:H)-N(I2:I)-N(J2:J)))</f>
        <v/>
      </c>
      <c r="L2" s="18" t="n"/>
      <c r="M2" s="18">
        <f>ARRAYFORMULA(IF(K2:K="","",K2:K-N(L2:L)))</f>
        <v/>
      </c>
      <c r="N2" s="19">
        <f>ARRAYFORMULA(IF(K2:K="","",M2:M/K2:K))</f>
        <v/>
      </c>
    </row>
    <row r="3">
      <c r="A3" s="17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9" t="n"/>
    </row>
    <row r="4">
      <c r="A4" s="17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9" t="n"/>
    </row>
    <row r="5">
      <c r="A5" s="17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9" t="n"/>
    </row>
    <row r="6">
      <c r="A6" s="17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9" t="n"/>
    </row>
    <row r="7">
      <c r="A7" s="17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9" t="n"/>
    </row>
    <row r="8">
      <c r="A8" s="17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9" t="n"/>
    </row>
    <row r="9">
      <c r="A9" s="17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9" t="n"/>
    </row>
    <row r="10">
      <c r="A10" s="17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9" t="n"/>
    </row>
    <row r="11">
      <c r="A11" s="17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9" t="n"/>
    </row>
    <row r="12">
      <c r="A12" s="17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9" t="n"/>
    </row>
    <row r="13">
      <c r="A13" s="17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9" t="n"/>
    </row>
    <row r="14">
      <c r="A14" s="17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9" t="n"/>
    </row>
    <row r="15">
      <c r="A15" s="17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9" t="n"/>
    </row>
    <row r="16">
      <c r="A16" s="17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9" t="n"/>
    </row>
    <row r="17">
      <c r="A17" s="17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9" t="n"/>
    </row>
    <row r="18">
      <c r="A18" s="17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9" t="n"/>
    </row>
    <row r="19">
      <c r="A19" s="17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9" t="n"/>
    </row>
    <row r="20">
      <c r="A20" s="17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9" t="n"/>
    </row>
    <row r="21">
      <c r="A21" s="17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9" t="n"/>
    </row>
    <row r="22">
      <c r="A22" s="17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9" t="n"/>
    </row>
    <row r="23">
      <c r="A23" s="17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9" t="n"/>
    </row>
    <row r="24">
      <c r="A24" s="17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9" t="n"/>
    </row>
    <row r="25">
      <c r="A25" s="17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9" t="n"/>
    </row>
    <row r="26">
      <c r="A26" s="17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9" t="n"/>
    </row>
    <row r="27">
      <c r="A27" s="17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9" t="n"/>
    </row>
    <row r="28">
      <c r="A28" s="17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9" t="n"/>
    </row>
    <row r="29">
      <c r="A29" s="17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9" t="n"/>
    </row>
    <row r="30">
      <c r="A30" s="17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9" t="n"/>
    </row>
    <row r="31">
      <c r="A31" s="17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9" t="n"/>
    </row>
    <row r="32">
      <c r="A32" s="17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9" t="n"/>
    </row>
    <row r="33">
      <c r="A33" s="17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9" t="n"/>
    </row>
    <row r="34">
      <c r="A34" s="17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9" t="n"/>
    </row>
    <row r="35">
      <c r="A35" s="17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9" t="n"/>
    </row>
    <row r="36">
      <c r="A36" s="17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9" t="n"/>
    </row>
    <row r="37">
      <c r="A37" s="17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9" t="n"/>
    </row>
    <row r="38">
      <c r="A38" s="17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9" t="n"/>
    </row>
    <row r="39">
      <c r="A39" s="17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9" t="n"/>
    </row>
    <row r="40">
      <c r="A40" s="17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9" t="n"/>
    </row>
    <row r="41">
      <c r="A41" s="17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9" t="n"/>
    </row>
    <row r="42">
      <c r="A42" s="17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9" t="n"/>
    </row>
    <row r="43">
      <c r="A43" s="17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9" t="n"/>
    </row>
    <row r="44">
      <c r="A44" s="17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9" t="n"/>
    </row>
    <row r="45">
      <c r="A45" s="17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9" t="n"/>
    </row>
    <row r="46">
      <c r="A46" s="17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9" t="n"/>
    </row>
    <row r="47">
      <c r="A47" s="17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9" t="n"/>
    </row>
    <row r="48">
      <c r="A48" s="17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9" t="n"/>
    </row>
    <row r="49">
      <c r="A49" s="17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9" t="n"/>
    </row>
    <row r="50">
      <c r="A50" s="17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9" t="n"/>
    </row>
    <row r="51">
      <c r="A51" s="17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9" t="n"/>
    </row>
    <row r="52">
      <c r="A52" s="17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9" t="n"/>
    </row>
    <row r="53">
      <c r="A53" s="17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9" t="n"/>
    </row>
    <row r="54">
      <c r="A54" s="17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9" t="n"/>
    </row>
    <row r="55">
      <c r="A55" s="17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9" t="n"/>
    </row>
    <row r="56">
      <c r="A56" s="17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9" t="n"/>
    </row>
    <row r="57">
      <c r="A57" s="17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9" t="n"/>
    </row>
    <row r="58">
      <c r="A58" s="17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9" t="n"/>
    </row>
    <row r="59">
      <c r="A59" s="17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9" t="n"/>
    </row>
    <row r="60">
      <c r="A60" s="17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9" t="n"/>
    </row>
    <row r="61">
      <c r="A61" s="17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9" t="n"/>
    </row>
    <row r="62">
      <c r="A62" s="17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9" t="n"/>
    </row>
    <row r="63">
      <c r="A63" s="17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9" t="n"/>
    </row>
    <row r="64">
      <c r="A64" s="17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9" t="n"/>
    </row>
    <row r="65">
      <c r="A65" s="17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9" t="n"/>
    </row>
    <row r="66">
      <c r="A66" s="17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9" t="n"/>
    </row>
    <row r="67">
      <c r="A67" s="17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9" t="n"/>
    </row>
    <row r="68">
      <c r="A68" s="17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9" t="n"/>
    </row>
    <row r="69">
      <c r="A69" s="17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9" t="n"/>
    </row>
    <row r="70">
      <c r="A70" s="17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9" t="n"/>
    </row>
    <row r="71">
      <c r="A71" s="17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9" t="n"/>
    </row>
    <row r="72">
      <c r="A72" s="17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9" t="n"/>
    </row>
    <row r="73">
      <c r="A73" s="17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9" t="n"/>
    </row>
    <row r="74">
      <c r="A74" s="17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9" t="n"/>
    </row>
    <row r="75">
      <c r="A75" s="17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9" t="n"/>
    </row>
    <row r="76">
      <c r="A76" s="17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9" t="n"/>
    </row>
    <row r="77">
      <c r="A77" s="17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9" t="n"/>
    </row>
    <row r="78">
      <c r="A78" s="17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9" t="n"/>
    </row>
    <row r="79">
      <c r="A79" s="17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9" t="n"/>
    </row>
    <row r="80">
      <c r="A80" s="17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9" t="n"/>
    </row>
    <row r="81">
      <c r="A81" s="17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9" t="n"/>
    </row>
    <row r="82">
      <c r="A82" s="17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9" t="n"/>
    </row>
    <row r="83">
      <c r="A83" s="17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9" t="n"/>
    </row>
    <row r="84">
      <c r="A84" s="17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9" t="n"/>
    </row>
    <row r="85">
      <c r="A85" s="17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9" t="n"/>
    </row>
    <row r="86">
      <c r="A86" s="17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9" t="n"/>
    </row>
    <row r="87">
      <c r="A87" s="17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9" t="n"/>
    </row>
    <row r="88">
      <c r="A88" s="17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9" t="n"/>
    </row>
    <row r="89">
      <c r="A89" s="17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9" t="n"/>
    </row>
    <row r="90">
      <c r="A90" s="17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9" t="n"/>
    </row>
    <row r="91">
      <c r="A91" s="17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9" t="n"/>
    </row>
    <row r="92">
      <c r="A92" s="17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9" t="n"/>
    </row>
    <row r="93">
      <c r="A93" s="17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9" t="n"/>
    </row>
    <row r="94">
      <c r="A94" s="17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9" t="n"/>
    </row>
    <row r="95">
      <c r="A95" s="17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9" t="n"/>
    </row>
    <row r="96">
      <c r="A96" s="17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9" t="n"/>
    </row>
    <row r="97">
      <c r="A97" s="17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9" t="n"/>
    </row>
    <row r="98">
      <c r="A98" s="17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9" t="n"/>
    </row>
    <row r="99">
      <c r="A99" s="17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9" t="n"/>
    </row>
    <row r="100">
      <c r="A100" s="17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9" t="n"/>
    </row>
    <row r="101">
      <c r="A101" s="17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9" t="n"/>
    </row>
    <row r="102">
      <c r="A102" s="17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9" t="n"/>
    </row>
    <row r="103">
      <c r="A103" s="17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9" t="n"/>
    </row>
    <row r="104">
      <c r="A104" s="17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9" t="n"/>
    </row>
    <row r="105">
      <c r="A105" s="17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9" t="n"/>
    </row>
    <row r="106">
      <c r="A106" s="17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9" t="n"/>
    </row>
    <row r="107">
      <c r="A107" s="17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9" t="n"/>
    </row>
    <row r="108">
      <c r="A108" s="17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9" t="n"/>
    </row>
    <row r="109">
      <c r="A109" s="17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9" t="n"/>
    </row>
    <row r="110">
      <c r="A110" s="17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9" t="n"/>
    </row>
    <row r="111">
      <c r="A111" s="17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9" t="n"/>
    </row>
    <row r="112">
      <c r="A112" s="17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9" t="n"/>
    </row>
    <row r="113">
      <c r="A113" s="17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9" t="n"/>
    </row>
    <row r="114">
      <c r="A114" s="17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9" t="n"/>
    </row>
    <row r="115">
      <c r="A115" s="17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9" t="n"/>
    </row>
    <row r="116">
      <c r="A116" s="17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9" t="n"/>
    </row>
    <row r="117">
      <c r="A117" s="17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9" t="n"/>
    </row>
    <row r="118">
      <c r="A118" s="17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9" t="n"/>
    </row>
    <row r="119">
      <c r="A119" s="17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9" t="n"/>
    </row>
    <row r="120">
      <c r="A120" s="17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9" t="n"/>
    </row>
    <row r="121">
      <c r="A121" s="17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9" t="n"/>
    </row>
    <row r="122">
      <c r="A122" s="17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9" t="n"/>
    </row>
    <row r="123">
      <c r="A123" s="17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9" t="n"/>
    </row>
    <row r="124">
      <c r="A124" s="17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9" t="n"/>
    </row>
    <row r="125">
      <c r="A125" s="17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9" t="n"/>
    </row>
    <row r="126">
      <c r="A126" s="17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9" t="n"/>
    </row>
    <row r="127">
      <c r="A127" s="17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9" t="n"/>
    </row>
    <row r="128">
      <c r="A128" s="17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9" t="n"/>
    </row>
    <row r="129">
      <c r="A129" s="17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9" t="n"/>
    </row>
    <row r="130">
      <c r="A130" s="17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9" t="n"/>
    </row>
    <row r="131">
      <c r="A131" s="17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9" t="n"/>
    </row>
    <row r="132">
      <c r="A132" s="17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9" t="n"/>
    </row>
    <row r="133">
      <c r="A133" s="17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9" t="n"/>
    </row>
    <row r="134">
      <c r="A134" s="17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9" t="n"/>
    </row>
    <row r="135">
      <c r="A135" s="17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9" t="n"/>
    </row>
    <row r="136">
      <c r="A136" s="17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9" t="n"/>
    </row>
    <row r="137">
      <c r="A137" s="17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9" t="n"/>
    </row>
    <row r="138">
      <c r="A138" s="17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9" t="n"/>
    </row>
    <row r="139">
      <c r="A139" s="17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9" t="n"/>
    </row>
    <row r="140">
      <c r="A140" s="17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9" t="n"/>
    </row>
    <row r="141">
      <c r="A141" s="17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9" t="n"/>
    </row>
    <row r="142">
      <c r="A142" s="17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9" t="n"/>
    </row>
    <row r="143">
      <c r="A143" s="17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9" t="n"/>
    </row>
    <row r="144">
      <c r="A144" s="17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9" t="n"/>
    </row>
    <row r="145">
      <c r="A145" s="17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9" t="n"/>
    </row>
    <row r="146">
      <c r="A146" s="17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9" t="n"/>
    </row>
    <row r="147">
      <c r="A147" s="17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9" t="n"/>
    </row>
    <row r="148">
      <c r="A148" s="17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9" t="n"/>
    </row>
    <row r="149">
      <c r="A149" s="17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9" t="n"/>
    </row>
    <row r="150">
      <c r="A150" s="17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9" t="n"/>
    </row>
    <row r="151">
      <c r="A151" s="17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9" t="n"/>
    </row>
    <row r="152">
      <c r="A152" s="17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9" t="n"/>
    </row>
    <row r="153">
      <c r="A153" s="17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9" t="n"/>
    </row>
    <row r="154">
      <c r="A154" s="17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9" t="n"/>
    </row>
    <row r="155">
      <c r="A155" s="17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9" t="n"/>
    </row>
    <row r="156">
      <c r="A156" s="17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9" t="n"/>
    </row>
    <row r="157">
      <c r="A157" s="17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9" t="n"/>
    </row>
    <row r="158">
      <c r="A158" s="17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9" t="n"/>
    </row>
    <row r="159">
      <c r="A159" s="17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9" t="n"/>
    </row>
    <row r="160">
      <c r="A160" s="17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9" t="n"/>
    </row>
    <row r="161">
      <c r="A161" s="17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9" t="n"/>
    </row>
    <row r="162">
      <c r="A162" s="17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9" t="n"/>
    </row>
    <row r="163">
      <c r="A163" s="17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9" t="n"/>
    </row>
    <row r="164">
      <c r="A164" s="17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9" t="n"/>
    </row>
    <row r="165">
      <c r="A165" s="17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9" t="n"/>
    </row>
    <row r="166">
      <c r="A166" s="17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9" t="n"/>
    </row>
    <row r="167">
      <c r="A167" s="17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9" t="n"/>
    </row>
    <row r="168">
      <c r="A168" s="17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9" t="n"/>
    </row>
    <row r="169">
      <c r="A169" s="17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9" t="n"/>
    </row>
    <row r="170">
      <c r="A170" s="17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9" t="n"/>
    </row>
    <row r="171">
      <c r="A171" s="17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9" t="n"/>
    </row>
    <row r="172">
      <c r="A172" s="17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9" t="n"/>
    </row>
    <row r="173">
      <c r="A173" s="17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9" t="n"/>
    </row>
    <row r="174">
      <c r="A174" s="17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9" t="n"/>
    </row>
    <row r="175">
      <c r="A175" s="17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9" t="n"/>
    </row>
    <row r="176">
      <c r="A176" s="17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9" t="n"/>
    </row>
    <row r="177">
      <c r="A177" s="17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9" t="n"/>
    </row>
    <row r="178">
      <c r="A178" s="17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9" t="n"/>
    </row>
    <row r="179">
      <c r="A179" s="17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9" t="n"/>
    </row>
    <row r="180">
      <c r="A180" s="17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9" t="n"/>
    </row>
    <row r="181">
      <c r="A181" s="17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9" t="n"/>
    </row>
    <row r="182">
      <c r="A182" s="17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9" t="n"/>
    </row>
    <row r="183">
      <c r="A183" s="17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9" t="n"/>
    </row>
    <row r="184">
      <c r="A184" s="17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9" t="n"/>
    </row>
    <row r="185">
      <c r="A185" s="17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9" t="n"/>
    </row>
    <row r="186">
      <c r="A186" s="17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9" t="n"/>
    </row>
    <row r="187">
      <c r="A187" s="17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9" t="n"/>
    </row>
    <row r="188">
      <c r="A188" s="17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9" t="n"/>
    </row>
    <row r="189">
      <c r="A189" s="17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9" t="n"/>
    </row>
    <row r="190">
      <c r="A190" s="17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9" t="n"/>
    </row>
    <row r="191">
      <c r="A191" s="17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9" t="n"/>
    </row>
    <row r="192">
      <c r="A192" s="17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9" t="n"/>
    </row>
    <row r="193">
      <c r="A193" s="17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9" t="n"/>
    </row>
    <row r="194">
      <c r="A194" s="17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9" t="n"/>
    </row>
    <row r="195">
      <c r="A195" s="17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9" t="n"/>
    </row>
    <row r="196">
      <c r="A196" s="17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9" t="n"/>
    </row>
    <row r="197">
      <c r="A197" s="17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9" t="n"/>
    </row>
    <row r="198">
      <c r="A198" s="17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9" t="n"/>
    </row>
    <row r="199">
      <c r="A199" s="17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9" t="n"/>
    </row>
    <row r="200">
      <c r="A200" s="17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9" t="n"/>
    </row>
    <row r="201">
      <c r="A201" s="17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9" t="n"/>
    </row>
    <row r="202">
      <c r="A202" s="17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9" t="n"/>
    </row>
    <row r="203">
      <c r="A203" s="17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9" t="n"/>
    </row>
    <row r="204">
      <c r="A204" s="17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9" t="n"/>
    </row>
    <row r="205">
      <c r="A205" s="17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9" t="n"/>
    </row>
    <row r="206">
      <c r="A206" s="17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9" t="n"/>
    </row>
    <row r="207">
      <c r="A207" s="17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9" t="n"/>
    </row>
    <row r="208">
      <c r="A208" s="17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9" t="n"/>
    </row>
    <row r="209">
      <c r="A209" s="17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9" t="n"/>
    </row>
    <row r="210">
      <c r="A210" s="17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9" t="n"/>
    </row>
    <row r="211">
      <c r="A211" s="17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9" t="n"/>
    </row>
    <row r="212">
      <c r="A212" s="17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9" t="n"/>
    </row>
    <row r="213">
      <c r="A213" s="17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9" t="n"/>
    </row>
    <row r="214">
      <c r="A214" s="17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9" t="n"/>
    </row>
    <row r="215">
      <c r="A215" s="17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9" t="n"/>
    </row>
    <row r="216">
      <c r="A216" s="17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9" t="n"/>
    </row>
    <row r="217">
      <c r="A217" s="17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9" t="n"/>
    </row>
    <row r="218">
      <c r="A218" s="17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9" t="n"/>
    </row>
    <row r="219">
      <c r="A219" s="17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9" t="n"/>
    </row>
    <row r="220">
      <c r="A220" s="17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9" t="n"/>
    </row>
    <row r="221">
      <c r="A221" s="17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9" t="n"/>
    </row>
    <row r="222">
      <c r="A222" s="17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9" t="n"/>
    </row>
    <row r="223">
      <c r="A223" s="17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9" t="n"/>
    </row>
    <row r="224">
      <c r="A224" s="17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9" t="n"/>
    </row>
    <row r="225">
      <c r="A225" s="17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9" t="n"/>
    </row>
    <row r="226">
      <c r="A226" s="17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9" t="n"/>
    </row>
    <row r="227">
      <c r="A227" s="17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9" t="n"/>
    </row>
    <row r="228">
      <c r="A228" s="17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9" t="n"/>
    </row>
    <row r="229">
      <c r="A229" s="17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9" t="n"/>
    </row>
    <row r="230">
      <c r="A230" s="17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9" t="n"/>
    </row>
    <row r="231">
      <c r="A231" s="17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9" t="n"/>
    </row>
    <row r="232">
      <c r="A232" s="17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9" t="n"/>
    </row>
    <row r="233">
      <c r="A233" s="17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9" t="n"/>
    </row>
    <row r="234">
      <c r="A234" s="17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9" t="n"/>
    </row>
    <row r="235">
      <c r="A235" s="17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9" t="n"/>
    </row>
    <row r="236">
      <c r="A236" s="17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9" t="n"/>
    </row>
    <row r="237">
      <c r="A237" s="17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9" t="n"/>
    </row>
    <row r="238">
      <c r="A238" s="17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9" t="n"/>
    </row>
    <row r="239">
      <c r="A239" s="17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9" t="n"/>
    </row>
    <row r="240">
      <c r="A240" s="17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9" t="n"/>
    </row>
    <row r="241">
      <c r="A241" s="17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9" t="n"/>
    </row>
    <row r="242">
      <c r="A242" s="17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9" t="n"/>
    </row>
    <row r="243">
      <c r="A243" s="17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9" t="n"/>
    </row>
    <row r="244">
      <c r="A244" s="17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9" t="n"/>
    </row>
    <row r="245">
      <c r="A245" s="17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9" t="n"/>
    </row>
    <row r="246">
      <c r="A246" s="17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9" t="n"/>
    </row>
    <row r="247">
      <c r="A247" s="17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9" t="n"/>
    </row>
    <row r="248">
      <c r="A248" s="17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9" t="n"/>
    </row>
    <row r="249">
      <c r="A249" s="17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9" t="n"/>
    </row>
    <row r="250">
      <c r="A250" s="17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9" t="n"/>
    </row>
    <row r="251">
      <c r="A251" s="17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9" t="n"/>
    </row>
    <row r="252">
      <c r="A252" s="17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9" t="n"/>
    </row>
    <row r="253">
      <c r="A253" s="17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9" t="n"/>
    </row>
    <row r="254">
      <c r="A254" s="17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9" t="n"/>
    </row>
    <row r="255">
      <c r="A255" s="17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9" t="n"/>
    </row>
    <row r="256">
      <c r="A256" s="17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9" t="n"/>
    </row>
    <row r="257">
      <c r="A257" s="17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9" t="n"/>
    </row>
    <row r="258">
      <c r="A258" s="17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9" t="n"/>
    </row>
    <row r="259">
      <c r="A259" s="17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9" t="n"/>
    </row>
    <row r="260">
      <c r="A260" s="17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9" t="n"/>
    </row>
    <row r="261">
      <c r="A261" s="17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9" t="n"/>
    </row>
    <row r="262">
      <c r="A262" s="17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9" t="n"/>
    </row>
    <row r="263">
      <c r="A263" s="17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9" t="n"/>
    </row>
    <row r="264">
      <c r="A264" s="17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9" t="n"/>
    </row>
    <row r="265">
      <c r="A265" s="17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9" t="n"/>
    </row>
    <row r="266">
      <c r="A266" s="17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9" t="n"/>
    </row>
    <row r="267">
      <c r="A267" s="17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9" t="n"/>
    </row>
    <row r="268">
      <c r="A268" s="17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9" t="n"/>
    </row>
    <row r="269">
      <c r="A269" s="17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9" t="n"/>
    </row>
    <row r="270">
      <c r="A270" s="17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9" t="n"/>
    </row>
    <row r="271">
      <c r="A271" s="17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9" t="n"/>
    </row>
    <row r="272">
      <c r="A272" s="17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9" t="n"/>
    </row>
    <row r="273">
      <c r="A273" s="17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9" t="n"/>
    </row>
    <row r="274">
      <c r="A274" s="17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9" t="n"/>
    </row>
    <row r="275">
      <c r="A275" s="17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9" t="n"/>
    </row>
    <row r="276">
      <c r="A276" s="17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9" t="n"/>
    </row>
    <row r="277">
      <c r="A277" s="17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9" t="n"/>
    </row>
    <row r="278">
      <c r="A278" s="17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9" t="n"/>
    </row>
    <row r="279">
      <c r="A279" s="17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9" t="n"/>
    </row>
    <row r="280">
      <c r="A280" s="17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9" t="n"/>
    </row>
    <row r="281">
      <c r="A281" s="17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9" t="n"/>
    </row>
    <row r="282">
      <c r="A282" s="17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9" t="n"/>
    </row>
    <row r="283">
      <c r="A283" s="17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9" t="n"/>
    </row>
    <row r="284">
      <c r="A284" s="17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9" t="n"/>
    </row>
    <row r="285">
      <c r="A285" s="17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9" t="n"/>
    </row>
    <row r="286">
      <c r="A286" s="17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9" t="n"/>
    </row>
    <row r="287">
      <c r="A287" s="17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9" t="n"/>
    </row>
    <row r="288">
      <c r="A288" s="17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9" t="n"/>
    </row>
    <row r="289">
      <c r="A289" s="17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9" t="n"/>
    </row>
    <row r="290">
      <c r="A290" s="17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9" t="n"/>
    </row>
    <row r="291">
      <c r="A291" s="17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9" t="n"/>
    </row>
    <row r="292">
      <c r="A292" s="17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9" t="n"/>
    </row>
    <row r="293">
      <c r="A293" s="17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9" t="n"/>
    </row>
    <row r="294">
      <c r="A294" s="17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9" t="n"/>
    </row>
    <row r="295">
      <c r="A295" s="17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9" t="n"/>
    </row>
    <row r="296">
      <c r="A296" s="17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9" t="n"/>
    </row>
    <row r="297">
      <c r="A297" s="17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9" t="n"/>
    </row>
    <row r="298">
      <c r="A298" s="17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9" t="n"/>
    </row>
    <row r="299">
      <c r="A299" s="17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9" t="n"/>
    </row>
    <row r="300">
      <c r="A300" s="17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9" t="n"/>
    </row>
    <row r="301">
      <c r="A301" s="17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9" t="n"/>
    </row>
  </sheetData>
  <autoFilter ref="A1:O301"/>
  <conditionalFormatting sqref="M2:M301">
    <cfRule type="cellIs" priority="1" operator="lessThan" dxfId="2">
      <formula>0</formula>
    </cfRule>
  </conditionalFormatting>
  <dataValidations count="1">
    <dataValidation sqref="D2:D301" showDropDown="0" showInputMessage="0" showErrorMessage="0" allowBlank="1" type="list">
      <formula1>"eBay,TCGplayer,COMC,Whatnot,Local,Other"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2" customWidth="1" min="4" max="4"/>
    <col width="22" customWidth="1" min="5" max="5"/>
    <col width="20" customWidth="1" min="6" max="6"/>
    <col width="10" customWidth="1" min="7" max="7"/>
    <col width="52" customWidth="1" min="8" max="8"/>
    <col width="10" customWidth="1" min="9" max="9"/>
    <col width="30" customWidth="1" min="10" max="10"/>
  </cols>
  <sheetData>
    <row r="1" ht="30" customHeight="1">
      <c r="A1" s="16" t="inlineStr">
        <is>
          <t>SKU</t>
        </is>
      </c>
      <c r="B1" s="16" t="inlineStr">
        <is>
          <t>Card</t>
        </is>
      </c>
      <c r="C1" s="16" t="inlineStr">
        <is>
          <t>Picture</t>
        </is>
      </c>
      <c r="D1" s="16" t="inlineStr">
        <is>
          <t>Front</t>
        </is>
      </c>
      <c r="E1" s="16" t="inlineStr">
        <is>
          <t>Back</t>
        </is>
      </c>
      <c r="F1" s="16" t="inlineStr">
        <is>
          <t>Extras</t>
        </is>
      </c>
      <c r="G1" s="16" t="inlineStr">
        <is>
          <t>How many</t>
        </is>
      </c>
      <c r="H1" s="16" t="inlineStr">
        <is>
          <t>Picture URL for eBay</t>
        </is>
      </c>
      <c r="I1" s="16" t="inlineStr">
        <is>
          <t>Checked</t>
        </is>
      </c>
      <c r="J1" s="16" t="inlineStr">
        <is>
          <t>Notes</t>
        </is>
      </c>
      <c r="L1" t="inlineStr">
        <is>
          <t>https://pthaiop587.github.io/tcg-scout/photos/</t>
        </is>
      </c>
    </row>
    <row r="2" ht="96" customHeight="1">
      <c r="C2">
        <f>IF(A2="","",IFERROR(IMAGE($L$1&amp;A2&amp;".jpg",1),"no photo yet"))</f>
        <v/>
      </c>
      <c r="D2">
        <f>IF(A2="","",A2&amp;".jpg")</f>
        <v/>
      </c>
      <c r="H2">
        <f>IF(A2="","",$L$1&amp;A2&amp;".jpg"&amp;IF(E2="","","|"&amp;$L$1&amp;A2&amp;"-back.jpg"))</f>
        <v/>
      </c>
    </row>
    <row r="3" ht="96" customHeight="1">
      <c r="C3">
        <f>IF(A3="","",IFERROR(IMAGE($L$1&amp;A3&amp;".jpg",1),"no photo yet"))</f>
        <v/>
      </c>
      <c r="D3">
        <f>IF(A3="","",A3&amp;".jpg")</f>
        <v/>
      </c>
      <c r="H3">
        <f>IF(A3="","",$L$1&amp;A3&amp;".jpg"&amp;IF(E3="","","|"&amp;$L$1&amp;A3&amp;"-back.jpg"))</f>
        <v/>
      </c>
    </row>
    <row r="4" ht="96" customHeight="1">
      <c r="C4">
        <f>IF(A4="","",IFERROR(IMAGE($L$1&amp;A4&amp;".jpg",1),"no photo yet"))</f>
        <v/>
      </c>
      <c r="D4">
        <f>IF(A4="","",A4&amp;".jpg")</f>
        <v/>
      </c>
      <c r="H4">
        <f>IF(A4="","",$L$1&amp;A4&amp;".jpg"&amp;IF(E4="","","|"&amp;$L$1&amp;A4&amp;"-back.jpg"))</f>
        <v/>
      </c>
    </row>
    <row r="5" ht="96" customHeight="1">
      <c r="C5">
        <f>IF(A5="","",IFERROR(IMAGE($L$1&amp;A5&amp;".jpg",1),"no photo yet"))</f>
        <v/>
      </c>
      <c r="D5">
        <f>IF(A5="","",A5&amp;".jpg")</f>
        <v/>
      </c>
      <c r="H5">
        <f>IF(A5="","",$L$1&amp;A5&amp;".jpg"&amp;IF(E5="","","|"&amp;$L$1&amp;A5&amp;"-back.jpg"))</f>
        <v/>
      </c>
    </row>
    <row r="6" ht="96" customHeight="1">
      <c r="C6">
        <f>IF(A6="","",IFERROR(IMAGE($L$1&amp;A6&amp;".jpg",1),"no photo yet"))</f>
        <v/>
      </c>
      <c r="D6">
        <f>IF(A6="","",A6&amp;".jpg")</f>
        <v/>
      </c>
      <c r="H6">
        <f>IF(A6="","",$L$1&amp;A6&amp;".jpg"&amp;IF(E6="","","|"&amp;$L$1&amp;A6&amp;"-back.jpg"))</f>
        <v/>
      </c>
    </row>
    <row r="7" ht="96" customHeight="1">
      <c r="C7">
        <f>IF(A7="","",IFERROR(IMAGE($L$1&amp;A7&amp;".jpg",1),"no photo yet"))</f>
        <v/>
      </c>
      <c r="D7">
        <f>IF(A7="","",A7&amp;".jpg")</f>
        <v/>
      </c>
      <c r="H7">
        <f>IF(A7="","",$L$1&amp;A7&amp;".jpg"&amp;IF(E7="","","|"&amp;$L$1&amp;A7&amp;"-back.jpg"))</f>
        <v/>
      </c>
    </row>
    <row r="8" ht="96" customHeight="1">
      <c r="C8">
        <f>IF(A8="","",IFERROR(IMAGE($L$1&amp;A8&amp;".jpg",1),"no photo yet"))</f>
        <v/>
      </c>
      <c r="D8">
        <f>IF(A8="","",A8&amp;".jpg")</f>
        <v/>
      </c>
      <c r="H8">
        <f>IF(A8="","",$L$1&amp;A8&amp;".jpg"&amp;IF(E8="","","|"&amp;$L$1&amp;A8&amp;"-back.jpg"))</f>
        <v/>
      </c>
    </row>
    <row r="9" ht="96" customHeight="1">
      <c r="C9">
        <f>IF(A9="","",IFERROR(IMAGE($L$1&amp;A9&amp;".jpg",1),"no photo yet"))</f>
        <v/>
      </c>
      <c r="D9">
        <f>IF(A9="","",A9&amp;".jpg")</f>
        <v/>
      </c>
      <c r="H9">
        <f>IF(A9="","",$L$1&amp;A9&amp;".jpg"&amp;IF(E9="","","|"&amp;$L$1&amp;A9&amp;"-back.jpg"))</f>
        <v/>
      </c>
    </row>
    <row r="10" ht="96" customHeight="1">
      <c r="C10">
        <f>IF(A10="","",IFERROR(IMAGE($L$1&amp;A10&amp;".jpg",1),"no photo yet"))</f>
        <v/>
      </c>
      <c r="D10">
        <f>IF(A10="","",A10&amp;".jpg")</f>
        <v/>
      </c>
      <c r="H10">
        <f>IF(A10="","",$L$1&amp;A10&amp;".jpg"&amp;IF(E10="","","|"&amp;$L$1&amp;A10&amp;"-back.jpg"))</f>
        <v/>
      </c>
    </row>
    <row r="11" ht="96" customHeight="1">
      <c r="C11">
        <f>IF(A11="","",IFERROR(IMAGE($L$1&amp;A11&amp;".jpg",1),"no photo yet"))</f>
        <v/>
      </c>
      <c r="D11">
        <f>IF(A11="","",A11&amp;".jpg")</f>
        <v/>
      </c>
      <c r="H11">
        <f>IF(A11="","",$L$1&amp;A11&amp;".jpg"&amp;IF(E11="","","|"&amp;$L$1&amp;A11&amp;"-back.jpg"))</f>
        <v/>
      </c>
    </row>
    <row r="12" ht="96" customHeight="1">
      <c r="C12">
        <f>IF(A12="","",IFERROR(IMAGE($L$1&amp;A12&amp;".jpg",1),"no photo yet"))</f>
        <v/>
      </c>
      <c r="D12">
        <f>IF(A12="","",A12&amp;".jpg")</f>
        <v/>
      </c>
      <c r="H12">
        <f>IF(A12="","",$L$1&amp;A12&amp;".jpg"&amp;IF(E12="","","|"&amp;$L$1&amp;A12&amp;"-back.jpg"))</f>
        <v/>
      </c>
    </row>
    <row r="13" ht="96" customHeight="1">
      <c r="C13">
        <f>IF(A13="","",IFERROR(IMAGE($L$1&amp;A13&amp;".jpg",1),"no photo yet"))</f>
        <v/>
      </c>
      <c r="D13">
        <f>IF(A13="","",A13&amp;".jpg")</f>
        <v/>
      </c>
      <c r="H13">
        <f>IF(A13="","",$L$1&amp;A13&amp;".jpg"&amp;IF(E13="","","|"&amp;$L$1&amp;A13&amp;"-back.jpg"))</f>
        <v/>
      </c>
    </row>
    <row r="14" ht="96" customHeight="1">
      <c r="C14">
        <f>IF(A14="","",IFERROR(IMAGE($L$1&amp;A14&amp;".jpg",1),"no photo yet"))</f>
        <v/>
      </c>
      <c r="D14">
        <f>IF(A14="","",A14&amp;".jpg")</f>
        <v/>
      </c>
      <c r="H14">
        <f>IF(A14="","",$L$1&amp;A14&amp;".jpg"&amp;IF(E14="","","|"&amp;$L$1&amp;A14&amp;"-back.jpg"))</f>
        <v/>
      </c>
    </row>
    <row r="15" ht="96" customHeight="1">
      <c r="C15">
        <f>IF(A15="","",IFERROR(IMAGE($L$1&amp;A15&amp;".jpg",1),"no photo yet"))</f>
        <v/>
      </c>
      <c r="D15">
        <f>IF(A15="","",A15&amp;".jpg")</f>
        <v/>
      </c>
      <c r="H15">
        <f>IF(A15="","",$L$1&amp;A15&amp;".jpg"&amp;IF(E15="","","|"&amp;$L$1&amp;A15&amp;"-back.jpg"))</f>
        <v/>
      </c>
    </row>
    <row r="16" ht="96" customHeight="1">
      <c r="C16">
        <f>IF(A16="","",IFERROR(IMAGE($L$1&amp;A16&amp;".jpg",1),"no photo yet"))</f>
        <v/>
      </c>
      <c r="D16">
        <f>IF(A16="","",A16&amp;".jpg")</f>
        <v/>
      </c>
      <c r="H16">
        <f>IF(A16="","",$L$1&amp;A16&amp;".jpg"&amp;IF(E16="","","|"&amp;$L$1&amp;A16&amp;"-back.jpg"))</f>
        <v/>
      </c>
    </row>
    <row r="17" ht="96" customHeight="1">
      <c r="C17">
        <f>IF(A17="","",IFERROR(IMAGE($L$1&amp;A17&amp;".jpg",1),"no photo yet"))</f>
        <v/>
      </c>
      <c r="D17">
        <f>IF(A17="","",A17&amp;".jpg")</f>
        <v/>
      </c>
      <c r="H17">
        <f>IF(A17="","",$L$1&amp;A17&amp;".jpg"&amp;IF(E17="","","|"&amp;$L$1&amp;A17&amp;"-back.jpg"))</f>
        <v/>
      </c>
    </row>
    <row r="18" ht="96" customHeight="1">
      <c r="C18">
        <f>IF(A18="","",IFERROR(IMAGE($L$1&amp;A18&amp;".jpg",1),"no photo yet"))</f>
        <v/>
      </c>
      <c r="D18">
        <f>IF(A18="","",A18&amp;".jpg")</f>
        <v/>
      </c>
      <c r="H18">
        <f>IF(A18="","",$L$1&amp;A18&amp;".jpg"&amp;IF(E18="","","|"&amp;$L$1&amp;A18&amp;"-back.jpg"))</f>
        <v/>
      </c>
    </row>
    <row r="19" ht="96" customHeight="1">
      <c r="C19">
        <f>IF(A19="","",IFERROR(IMAGE($L$1&amp;A19&amp;".jpg",1),"no photo yet"))</f>
        <v/>
      </c>
      <c r="D19">
        <f>IF(A19="","",A19&amp;".jpg")</f>
        <v/>
      </c>
      <c r="H19">
        <f>IF(A19="","",$L$1&amp;A19&amp;".jpg"&amp;IF(E19="","","|"&amp;$L$1&amp;A19&amp;"-back.jpg"))</f>
        <v/>
      </c>
    </row>
    <row r="20" ht="96" customHeight="1">
      <c r="C20">
        <f>IF(A20="","",IFERROR(IMAGE($L$1&amp;A20&amp;".jpg",1),"no photo yet"))</f>
        <v/>
      </c>
      <c r="D20">
        <f>IF(A20="","",A20&amp;".jpg")</f>
        <v/>
      </c>
      <c r="H20">
        <f>IF(A20="","",$L$1&amp;A20&amp;".jpg"&amp;IF(E20="","","|"&amp;$L$1&amp;A20&amp;"-back.jpg"))</f>
        <v/>
      </c>
    </row>
    <row r="21" ht="96" customHeight="1">
      <c r="C21">
        <f>IF(A21="","",IFERROR(IMAGE($L$1&amp;A21&amp;".jpg",1),"no photo yet"))</f>
        <v/>
      </c>
      <c r="D21">
        <f>IF(A21="","",A21&amp;".jpg")</f>
        <v/>
      </c>
      <c r="H21">
        <f>IF(A21="","",$L$1&amp;A21&amp;".jpg"&amp;IF(E21="","","|"&amp;$L$1&amp;A21&amp;"-back.jpg"))</f>
        <v/>
      </c>
    </row>
    <row r="22" ht="96" customHeight="1">
      <c r="C22">
        <f>IF(A22="","",IFERROR(IMAGE($L$1&amp;A22&amp;".jpg",1),"no photo yet"))</f>
        <v/>
      </c>
      <c r="D22">
        <f>IF(A22="","",A22&amp;".jpg")</f>
        <v/>
      </c>
      <c r="H22">
        <f>IF(A22="","",$L$1&amp;A22&amp;".jpg"&amp;IF(E22="","","|"&amp;$L$1&amp;A22&amp;"-back.jpg"))</f>
        <v/>
      </c>
    </row>
    <row r="23" ht="96" customHeight="1">
      <c r="C23">
        <f>IF(A23="","",IFERROR(IMAGE($L$1&amp;A23&amp;".jpg",1),"no photo yet"))</f>
        <v/>
      </c>
      <c r="D23">
        <f>IF(A23="","",A23&amp;".jpg")</f>
        <v/>
      </c>
      <c r="H23">
        <f>IF(A23="","",$L$1&amp;A23&amp;".jpg"&amp;IF(E23="","","|"&amp;$L$1&amp;A23&amp;"-back.jpg"))</f>
        <v/>
      </c>
    </row>
    <row r="24" ht="96" customHeight="1">
      <c r="C24">
        <f>IF(A24="","",IFERROR(IMAGE($L$1&amp;A24&amp;".jpg",1),"no photo yet"))</f>
        <v/>
      </c>
      <c r="D24">
        <f>IF(A24="","",A24&amp;".jpg")</f>
        <v/>
      </c>
      <c r="H24">
        <f>IF(A24="","",$L$1&amp;A24&amp;".jpg"&amp;IF(E24="","","|"&amp;$L$1&amp;A24&amp;"-back.jpg"))</f>
        <v/>
      </c>
    </row>
    <row r="25" ht="96" customHeight="1">
      <c r="C25">
        <f>IF(A25="","",IFERROR(IMAGE($L$1&amp;A25&amp;".jpg",1),"no photo yet"))</f>
        <v/>
      </c>
      <c r="D25">
        <f>IF(A25="","",A25&amp;".jpg")</f>
        <v/>
      </c>
      <c r="H25">
        <f>IF(A25="","",$L$1&amp;A25&amp;".jpg"&amp;IF(E25="","","|"&amp;$L$1&amp;A25&amp;"-back.jpg"))</f>
        <v/>
      </c>
    </row>
    <row r="26" ht="96" customHeight="1">
      <c r="C26">
        <f>IF(A26="","",IFERROR(IMAGE($L$1&amp;A26&amp;".jpg",1),"no photo yet"))</f>
        <v/>
      </c>
      <c r="D26">
        <f>IF(A26="","",A26&amp;".jpg")</f>
        <v/>
      </c>
      <c r="H26">
        <f>IF(A26="","",$L$1&amp;A26&amp;".jpg"&amp;IF(E26="","","|"&amp;$L$1&amp;A26&amp;"-back.jpg"))</f>
        <v/>
      </c>
    </row>
    <row r="27" ht="96" customHeight="1">
      <c r="C27">
        <f>IF(A27="","",IFERROR(IMAGE($L$1&amp;A27&amp;".jpg",1),"no photo yet"))</f>
        <v/>
      </c>
      <c r="D27">
        <f>IF(A27="","",A27&amp;".jpg")</f>
        <v/>
      </c>
      <c r="H27">
        <f>IF(A27="","",$L$1&amp;A27&amp;".jpg"&amp;IF(E27="","","|"&amp;$L$1&amp;A27&amp;"-back.jpg"))</f>
        <v/>
      </c>
    </row>
    <row r="28" ht="96" customHeight="1">
      <c r="C28">
        <f>IF(A28="","",IFERROR(IMAGE($L$1&amp;A28&amp;".jpg",1),"no photo yet"))</f>
        <v/>
      </c>
      <c r="D28">
        <f>IF(A28="","",A28&amp;".jpg")</f>
        <v/>
      </c>
      <c r="H28">
        <f>IF(A28="","",$L$1&amp;A28&amp;".jpg"&amp;IF(E28="","","|"&amp;$L$1&amp;A28&amp;"-back.jpg"))</f>
        <v/>
      </c>
    </row>
    <row r="29" ht="96" customHeight="1">
      <c r="C29">
        <f>IF(A29="","",IFERROR(IMAGE($L$1&amp;A29&amp;".jpg",1),"no photo yet"))</f>
        <v/>
      </c>
      <c r="D29">
        <f>IF(A29="","",A29&amp;".jpg")</f>
        <v/>
      </c>
      <c r="H29">
        <f>IF(A29="","",$L$1&amp;A29&amp;".jpg"&amp;IF(E29="","","|"&amp;$L$1&amp;A29&amp;"-back.jpg"))</f>
        <v/>
      </c>
    </row>
    <row r="30" ht="96" customHeight="1">
      <c r="C30">
        <f>IF(A30="","",IFERROR(IMAGE($L$1&amp;A30&amp;".jpg",1),"no photo yet"))</f>
        <v/>
      </c>
      <c r="D30">
        <f>IF(A30="","",A30&amp;".jpg")</f>
        <v/>
      </c>
      <c r="H30">
        <f>IF(A30="","",$L$1&amp;A30&amp;".jpg"&amp;IF(E30="","","|"&amp;$L$1&amp;A30&amp;"-back.jpg"))</f>
        <v/>
      </c>
    </row>
    <row r="31" ht="96" customHeight="1">
      <c r="C31">
        <f>IF(A31="","",IFERROR(IMAGE($L$1&amp;A31&amp;".jpg",1),"no photo yet"))</f>
        <v/>
      </c>
      <c r="D31">
        <f>IF(A31="","",A31&amp;".jpg")</f>
        <v/>
      </c>
      <c r="H31">
        <f>IF(A31="","",$L$1&amp;A31&amp;".jpg"&amp;IF(E31="","","|"&amp;$L$1&amp;A31&amp;"-back.jpg"))</f>
        <v/>
      </c>
    </row>
    <row r="32" ht="96" customHeight="1">
      <c r="C32">
        <f>IF(A32="","",IFERROR(IMAGE($L$1&amp;A32&amp;".jpg",1),"no photo yet"))</f>
        <v/>
      </c>
      <c r="D32">
        <f>IF(A32="","",A32&amp;".jpg")</f>
        <v/>
      </c>
      <c r="H32">
        <f>IF(A32="","",$L$1&amp;A32&amp;".jpg"&amp;IF(E32="","","|"&amp;$L$1&amp;A32&amp;"-back.jpg"))</f>
        <v/>
      </c>
    </row>
    <row r="33" ht="96" customHeight="1">
      <c r="C33">
        <f>IF(A33="","",IFERROR(IMAGE($L$1&amp;A33&amp;".jpg",1),"no photo yet"))</f>
        <v/>
      </c>
      <c r="D33">
        <f>IF(A33="","",A33&amp;".jpg")</f>
        <v/>
      </c>
      <c r="H33">
        <f>IF(A33="","",$L$1&amp;A33&amp;".jpg"&amp;IF(E33="","","|"&amp;$L$1&amp;A33&amp;"-back.jpg"))</f>
        <v/>
      </c>
    </row>
    <row r="34" ht="96" customHeight="1">
      <c r="C34">
        <f>IF(A34="","",IFERROR(IMAGE($L$1&amp;A34&amp;".jpg",1),"no photo yet"))</f>
        <v/>
      </c>
      <c r="D34">
        <f>IF(A34="","",A34&amp;".jpg")</f>
        <v/>
      </c>
      <c r="H34">
        <f>IF(A34="","",$L$1&amp;A34&amp;".jpg"&amp;IF(E34="","","|"&amp;$L$1&amp;A34&amp;"-back.jpg"))</f>
        <v/>
      </c>
    </row>
    <row r="35" ht="96" customHeight="1">
      <c r="C35">
        <f>IF(A35="","",IFERROR(IMAGE($L$1&amp;A35&amp;".jpg",1),"no photo yet"))</f>
        <v/>
      </c>
      <c r="D35">
        <f>IF(A35="","",A35&amp;".jpg")</f>
        <v/>
      </c>
      <c r="H35">
        <f>IF(A35="","",$L$1&amp;A35&amp;".jpg"&amp;IF(E35="","","|"&amp;$L$1&amp;A35&amp;"-back.jpg"))</f>
        <v/>
      </c>
    </row>
    <row r="36" ht="96" customHeight="1">
      <c r="C36">
        <f>IF(A36="","",IFERROR(IMAGE($L$1&amp;A36&amp;".jpg",1),"no photo yet"))</f>
        <v/>
      </c>
      <c r="D36">
        <f>IF(A36="","",A36&amp;".jpg")</f>
        <v/>
      </c>
      <c r="H36">
        <f>IF(A36="","",$L$1&amp;A36&amp;".jpg"&amp;IF(E36="","","|"&amp;$L$1&amp;A36&amp;"-back.jpg"))</f>
        <v/>
      </c>
    </row>
    <row r="37" ht="96" customHeight="1">
      <c r="C37">
        <f>IF(A37="","",IFERROR(IMAGE($L$1&amp;A37&amp;".jpg",1),"no photo yet"))</f>
        <v/>
      </c>
      <c r="D37">
        <f>IF(A37="","",A37&amp;".jpg")</f>
        <v/>
      </c>
      <c r="H37">
        <f>IF(A37="","",$L$1&amp;A37&amp;".jpg"&amp;IF(E37="","","|"&amp;$L$1&amp;A37&amp;"-back.jpg"))</f>
        <v/>
      </c>
    </row>
    <row r="38" ht="96" customHeight="1">
      <c r="C38">
        <f>IF(A38="","",IFERROR(IMAGE($L$1&amp;A38&amp;".jpg",1),"no photo yet"))</f>
        <v/>
      </c>
      <c r="D38">
        <f>IF(A38="","",A38&amp;".jpg")</f>
        <v/>
      </c>
      <c r="H38">
        <f>IF(A38="","",$L$1&amp;A38&amp;".jpg"&amp;IF(E38="","","|"&amp;$L$1&amp;A38&amp;"-back.jpg"))</f>
        <v/>
      </c>
    </row>
    <row r="39" ht="96" customHeight="1">
      <c r="C39">
        <f>IF(A39="","",IFERROR(IMAGE($L$1&amp;A39&amp;".jpg",1),"no photo yet"))</f>
        <v/>
      </c>
      <c r="D39">
        <f>IF(A39="","",A39&amp;".jpg")</f>
        <v/>
      </c>
      <c r="H39">
        <f>IF(A39="","",$L$1&amp;A39&amp;".jpg"&amp;IF(E39="","","|"&amp;$L$1&amp;A39&amp;"-back.jpg"))</f>
        <v/>
      </c>
    </row>
    <row r="40" ht="96" customHeight="1">
      <c r="C40">
        <f>IF(A40="","",IFERROR(IMAGE($L$1&amp;A40&amp;".jpg",1),"no photo yet"))</f>
        <v/>
      </c>
      <c r="D40">
        <f>IF(A40="","",A40&amp;".jpg")</f>
        <v/>
      </c>
      <c r="H40">
        <f>IF(A40="","",$L$1&amp;A40&amp;".jpg"&amp;IF(E40="","","|"&amp;$L$1&amp;A40&amp;"-back.jpg"))</f>
        <v/>
      </c>
    </row>
    <row r="41" ht="96" customHeight="1">
      <c r="C41">
        <f>IF(A41="","",IFERROR(IMAGE($L$1&amp;A41&amp;".jpg",1),"no photo yet"))</f>
        <v/>
      </c>
      <c r="D41">
        <f>IF(A41="","",A41&amp;".jpg")</f>
        <v/>
      </c>
      <c r="H41">
        <f>IF(A41="","",$L$1&amp;A41&amp;".jpg"&amp;IF(E41="","","|"&amp;$L$1&amp;A41&amp;"-back.jpg"))</f>
        <v/>
      </c>
    </row>
    <row r="63">
      <c r="A63" s="14" t="inlineStr">
        <is>
          <t>What each card actually has a picture of.</t>
        </is>
      </c>
    </row>
    <row r="64">
      <c r="A64" s="8" t="inlineStr">
        <is>
          <t>In the Google copy this tab fills itself: type a SKU in column A and the photograph appears, live, off the published site. In the Excel copy it is filled in by  python embed_photos.py  -- it reads the photos folder, writes a row per SKU and puts the thumbnail in the Picture column, so this tab is the visual stock check. Re-run it whenever you add photos; it rewrites the tab from what is on disk.
The URL column is the address eBay will fetch. It only resolves once the photos have been pushed and published -- the workbook carries links, never the image files themselves, because eBay needs a public https address rather than an embedded picture.
A card with no row here has no photograph yet.</t>
        </is>
      </c>
    </row>
    <row r="65"/>
    <row r="66"/>
    <row r="67"/>
    <row r="68"/>
    <row r="69"/>
    <row r="70"/>
  </sheetData>
  <mergeCells count="1">
    <mergeCell ref="A64:F70"/>
  </mergeCells>
  <dataValidations count="1">
    <dataValidation sqref="I2:I6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74" customWidth="1" min="3" max="3"/>
  </cols>
  <sheetData>
    <row r="1">
      <c r="A1" s="1" t="inlineStr">
        <is>
          <t>Audit — what to fix before it costs you</t>
        </is>
      </c>
    </row>
    <row r="3">
      <c r="A3" s="9" t="inlineStr">
        <is>
          <t>STOPS A LISTING</t>
        </is>
      </c>
      <c r="B3" s="11" t="n"/>
      <c r="C3" s="11" t="n"/>
    </row>
    <row r="4" ht="30" customHeight="1">
      <c r="A4" t="inlineStr">
        <is>
          <t>Cards held for review</t>
        </is>
      </c>
      <c r="B4" s="20">
        <f>COUNTIF(Inventory!B2:B61,"Review")</f>
        <v/>
      </c>
      <c r="C4" s="13" t="inlineStr">
        <is>
          <t>Something was uncertain when it was filed — usually the parallel or the value. make_ebay_csv.py skips these on purpose. Settle the CHECK note in Notes, then set Status to Unlisted.</t>
        </is>
      </c>
    </row>
    <row r="5" ht="30" customHeight="1">
      <c r="A5" t="inlineStr">
        <is>
          <t>Ready to list but worth nothing</t>
        </is>
      </c>
      <c r="B5" s="20">
        <f>SUMPRODUCT((Inventory!B2:B61="Unlisted")*(N(Inventory!Z2:Z61)=0))</f>
        <v/>
      </c>
      <c r="C5" s="13" t="inlineStr">
        <is>
          <t>It will export at a price of nothing. Put a market value on it, or move it to Review until you have one.</t>
        </is>
      </c>
    </row>
    <row r="6" ht="30" customHeight="1">
      <c r="A6" t="inlineStr">
        <is>
          <t>Ready to list with no photo</t>
        </is>
      </c>
      <c r="B6" s="20">
        <f>SUMPRODUCT((Inventory!B2:B61="Unlisted")*(COUNTIF(Photos!A2:A61,Inventory!A2:A61)=0))</f>
        <v/>
      </c>
      <c r="C6" s="13" t="inlineStr">
        <is>
          <t>eBay needs a picture. Run embed_photos.py after adding photos so this tab knows about them.</t>
        </is>
      </c>
    </row>
    <row r="7" ht="30" customHeight="1">
      <c r="A7" t="inlineStr">
        <is>
          <t>Titles over 80 characters</t>
        </is>
      </c>
      <c r="B7" s="20">
        <f>SUMPRODUCT((N(Inventory!AF2:AF61)&gt;80)*1)</f>
        <v/>
      </c>
      <c r="C7" s="13" t="inlineStr">
        <is>
          <t>eBay truncates at 80. The Len column on Inventory shows each one.</t>
        </is>
      </c>
    </row>
    <row r="8">
      <c r="A8" s="9" t="inlineStr">
        <is>
          <t>COSTS YOU MONEY</t>
        </is>
      </c>
      <c r="B8" s="11" t="n"/>
      <c r="C8" s="11" t="n"/>
    </row>
    <row r="9" ht="30" customHeight="1">
      <c r="A9" t="inlineStr">
        <is>
          <t>Cards with no cost recorded</t>
        </is>
      </c>
      <c r="B9" s="20">
        <f>SUMPRODUCT((LEN(Inventory!A2:A61)&gt;0)*(N(Inventory!Y2:Y61)=0))</f>
        <v/>
      </c>
      <c r="C9" s="13" t="inlineStr">
        <is>
          <t>Profit on a sale is meaningless without it, and so is the Summary. If a card came out of a box, put the box's Lot ID on it and use cost per card from the Box log.</t>
        </is>
      </c>
    </row>
    <row r="10" ht="30" customHeight="1">
      <c r="A10" t="inlineStr">
        <is>
          <t>Cards with no Lot ID</t>
        </is>
      </c>
      <c r="B10" s="20">
        <f>SUMPRODUCT((LEN(Inventory!A2:A61)&gt;0)*(LEN(Inventory!E2:E61)=0))</f>
        <v/>
      </c>
      <c r="C10" s="13" t="inlineStr">
        <is>
          <t>Nothing ties them back to a purchase, so you cannot tell which box paid for itself.</t>
        </is>
      </c>
    </row>
    <row r="11" ht="30" customHeight="1">
      <c r="A11" t="inlineStr">
        <is>
          <t>Purchases with no receipt file</t>
        </is>
      </c>
      <c r="B11" s="20">
        <f>SUMPRODUCT((LEN(Purchases!A2:A61)&gt;0)*(LEN(Purchases!P2:P61)=0))</f>
        <v/>
      </c>
      <c r="C11" s="13" t="inlineStr">
        <is>
          <t>The tax year will want them, and so will eBay if a buyer disputes.</t>
        </is>
      </c>
    </row>
    <row r="12" ht="30" customHeight="1">
      <c r="A12" t="inlineStr">
        <is>
          <t>Sales with no cost basis</t>
        </is>
      </c>
      <c r="B12" s="20">
        <f>SUMPRODUCT((LEN(Sales!B2:B301)&gt;0)*(N(Sales!L2:L301)=0))</f>
        <v/>
      </c>
      <c r="C12" s="13" t="inlineStr">
        <is>
          <t>Profit on those rows is overstated by exactly what the card cost.</t>
        </is>
      </c>
    </row>
    <row r="13">
      <c r="A13" s="9" t="inlineStr">
        <is>
          <t>PROBABLY A MISTAKE</t>
        </is>
      </c>
      <c r="B13" s="11" t="n"/>
      <c r="C13" s="11" t="n"/>
    </row>
    <row r="14" ht="30" customHeight="1">
      <c r="A14" t="inlineStr">
        <is>
          <t>Duplicate SKUs</t>
        </is>
      </c>
      <c r="B14" s="20">
        <f>SUMPRODUCT((LEN(Inventory!A2:A61)&gt;0)*(COUNTIF(Inventory!A2:A61,Inventory!A2:A61&amp;"")&gt;1))</f>
        <v/>
      </c>
      <c r="C14" s="13" t="inlineStr">
        <is>
          <t>A SKU is meant to be one physical card. Two rows sharing one means photos and sales will attach to whichever Excel finds first.</t>
        </is>
      </c>
    </row>
    <row r="15" ht="30" customHeight="1">
      <c r="A15" t="inlineStr">
        <is>
          <t>Serial numbered with quantity over 1</t>
        </is>
      </c>
      <c r="B15" s="20">
        <f>SUMPRODUCT((LEN(Inventory!O2:O61)&gt;0)*(N(Inventory!X2:X61)&gt;1))</f>
        <v/>
      </c>
      <c r="C15" s="13" t="inlineStr">
        <is>
          <t>A numbered card is one of one at that number. Two of them is two different cards and wants two rows.</t>
        </is>
      </c>
    </row>
    <row r="16" ht="30" customHeight="1">
      <c r="A16" t="inlineStr">
        <is>
          <t>Graded with no cert number</t>
        </is>
      </c>
      <c r="B16" s="20">
        <f>SUMPRODUCT((LEN(Inventory!T2:T61)&gt;0)*(LEN(Inventory!V2:V61)=0))</f>
        <v/>
      </c>
      <c r="C16" s="13" t="inlineStr">
        <is>
          <t>Buyers check the cert. eBay has a field for it.</t>
        </is>
      </c>
    </row>
    <row r="17" ht="30" customHeight="1">
      <c r="A17" t="inlineStr">
        <is>
          <t>Sold but still Unlisted or Listed</t>
        </is>
      </c>
      <c r="B17" s="20">
        <f>SUMPRODUCT((COUNTIF(Sales!B2:B301,Inventory!A2:A61)&gt;0)*(Inventory!B2:B61&lt;&gt;"Sold"))</f>
        <v/>
      </c>
      <c r="C17" s="13" t="inlineStr">
        <is>
          <t>It is on the Sales tab but the stock still thinks you have it. That is how a card gets listed twice.</t>
        </is>
      </c>
    </row>
    <row r="19">
      <c r="A19" s="8" t="inlineStr">
        <is>
          <t>Every count is a formula, so this tab is never out of date. A zero down the whole column means the workbook is clean.
None of it blocks anything — it is a list of things that are cheap to fix now and expensive to find out about from a buyer.</t>
        </is>
      </c>
    </row>
    <row r="20"/>
    <row r="21"/>
  </sheetData>
  <mergeCells count="2">
    <mergeCell ref="A1:C1"/>
    <mergeCell ref="A19:C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2" customWidth="1" min="3" max="3"/>
  </cols>
  <sheetData>
    <row r="1">
      <c r="A1" s="1" t="inlineStr">
        <is>
          <t>eBay codes, checked August 2026</t>
        </is>
      </c>
    </row>
    <row r="3">
      <c r="A3" s="3" t="inlineStr">
        <is>
          <t>Category</t>
        </is>
      </c>
    </row>
    <row r="4">
      <c r="A4" s="9" t="inlineStr">
        <is>
          <t>What</t>
        </is>
      </c>
      <c r="B4" s="9" t="inlineStr">
        <is>
          <t>Code</t>
        </is>
      </c>
      <c r="C4" s="9" t="inlineStr">
        <is>
          <t>Notes</t>
        </is>
      </c>
    </row>
    <row r="5">
      <c r="A5" s="21" t="inlineStr">
        <is>
          <t>Sports card singles</t>
        </is>
      </c>
      <c r="B5" s="21" t="n">
        <v>261328</v>
      </c>
      <c r="C5" s="22" t="inlineStr">
        <is>
          <t>Football, basketball, baseball, hockey, soccer. Sport goes in its own item specific.</t>
        </is>
      </c>
    </row>
    <row r="6">
      <c r="A6" s="21" t="inlineStr">
        <is>
          <t>Non-sport card singles</t>
        </is>
      </c>
      <c r="B6" s="21" t="n">
        <v>183050</v>
      </c>
      <c r="C6" s="22" t="inlineStr">
        <is>
          <t>Garbage Pail Kids, movie and TV cards.</t>
        </is>
      </c>
    </row>
    <row r="7">
      <c r="A7" s="21" t="inlineStr">
        <is>
          <t>CCG individual cards</t>
        </is>
      </c>
      <c r="B7" s="21" t="n">
        <v>183454</v>
      </c>
      <c r="C7" s="22" t="inlineStr">
        <is>
          <t>Pokemon, Magic, Lorcana, One Piece, Yu-Gi-Oh.</t>
        </is>
      </c>
    </row>
    <row r="9">
      <c r="A9" s="3" t="inlineStr">
        <is>
          <t>Condition ID</t>
        </is>
      </c>
    </row>
    <row r="10">
      <c r="A10" s="9" t="inlineStr">
        <is>
          <t>What</t>
        </is>
      </c>
      <c r="B10" s="9" t="inlineStr">
        <is>
          <t>Code</t>
        </is>
      </c>
      <c r="C10" s="9" t="inlineStr">
        <is>
          <t>Notes</t>
        </is>
      </c>
    </row>
    <row r="11">
      <c r="A11" s="21" t="inlineStr">
        <is>
          <t>Graded</t>
        </is>
      </c>
      <c r="B11" s="21" t="n">
        <v>2750</v>
      </c>
      <c r="C11" s="22" t="inlineStr">
        <is>
          <t>Slabbed by a grading company. Grader, grade and cert number then become required.</t>
        </is>
      </c>
    </row>
    <row r="12">
      <c r="A12" s="21" t="inlineStr">
        <is>
          <t>Ungraded</t>
        </is>
      </c>
      <c r="B12" s="21" t="n">
        <v>4000</v>
      </c>
      <c r="C12" s="22" t="inlineStr">
        <is>
          <t>Raw card. Needs the card condition descriptor below. 'Used' is no longer accepted for cards.</t>
        </is>
      </c>
    </row>
    <row r="14">
      <c r="A14" s="3" t="inlineStr">
        <is>
          <t>Card condition descriptor -- CD:Card Condition (ID: 40001)</t>
        </is>
      </c>
    </row>
    <row r="15">
      <c r="A15" s="9" t="inlineStr">
        <is>
          <t>What</t>
        </is>
      </c>
      <c r="B15" s="9" t="inlineStr">
        <is>
          <t>Code</t>
        </is>
      </c>
      <c r="C15" s="9" t="inlineStr">
        <is>
          <t>Notes</t>
        </is>
      </c>
    </row>
    <row r="16">
      <c r="A16" s="21" t="inlineStr">
        <is>
          <t>Near Mint or Better</t>
        </is>
      </c>
      <c r="B16" s="21" t="n">
        <v>400010</v>
      </c>
      <c r="C16" s="22" t="inlineStr">
        <is>
          <t>Required on every ungraded card since 2023.</t>
        </is>
      </c>
    </row>
    <row r="17">
      <c r="A17" s="21" t="inlineStr">
        <is>
          <t>Excellent</t>
        </is>
      </c>
      <c r="B17" s="21" t="n">
        <v>400011</v>
      </c>
      <c r="C17" s="22" t="inlineStr">
        <is>
          <t>Required on every ungraded card since 2023.</t>
        </is>
      </c>
    </row>
    <row r="18">
      <c r="A18" s="21" t="inlineStr">
        <is>
          <t>Very Good</t>
        </is>
      </c>
      <c r="B18" s="21" t="n">
        <v>400012</v>
      </c>
      <c r="C18" s="22" t="inlineStr">
        <is>
          <t>Required on every ungraded card since 2023.</t>
        </is>
      </c>
    </row>
    <row r="19">
      <c r="A19" s="21" t="inlineStr">
        <is>
          <t>Poor</t>
        </is>
      </c>
      <c r="B19" s="21" t="n">
        <v>400013</v>
      </c>
      <c r="C19" s="22" t="inlineStr">
        <is>
          <t>Required on every ungraded card since 2023.</t>
        </is>
      </c>
    </row>
    <row r="21">
      <c r="A21" s="3" t="inlineStr">
        <is>
          <t>Professional grader -- CD:Professional Grader (ID: 27501)</t>
        </is>
      </c>
    </row>
    <row r="22">
      <c r="A22" s="9" t="inlineStr">
        <is>
          <t>What</t>
        </is>
      </c>
      <c r="B22" s="9" t="inlineStr">
        <is>
          <t>Code</t>
        </is>
      </c>
      <c r="C22" s="9" t="inlineStr">
        <is>
          <t>Notes</t>
        </is>
      </c>
    </row>
    <row r="23">
      <c r="A23" s="21" t="inlineStr">
        <is>
          <t>Professional Sports Authenticator (PSA)</t>
        </is>
      </c>
      <c r="B23" s="21" t="inlineStr"/>
      <c r="C23" s="22" t="inlineStr">
        <is>
          <t>Graded cards only. Grade goes in ID 27502, cert number in ID 27503.</t>
        </is>
      </c>
    </row>
    <row r="24">
      <c r="A24" s="21" t="inlineStr">
        <is>
          <t>Beckett Grading Services (BGS)</t>
        </is>
      </c>
      <c r="B24" s="21" t="inlineStr"/>
      <c r="C24" s="22" t="inlineStr">
        <is>
          <t>Graded cards only. Grade goes in ID 27502, cert number in ID 27503.</t>
        </is>
      </c>
    </row>
    <row r="25">
      <c r="A25" s="21" t="inlineStr">
        <is>
          <t>Sportscard Guaranty Corporation (SGC)</t>
        </is>
      </c>
      <c r="B25" s="21" t="inlineStr"/>
      <c r="C25" s="22" t="inlineStr">
        <is>
          <t>Graded cards only. Grade goes in ID 27502, cert number in ID 27503.</t>
        </is>
      </c>
    </row>
    <row r="26">
      <c r="A26" s="21" t="inlineStr">
        <is>
          <t>Certified Guaranty Company (CGC)</t>
        </is>
      </c>
      <c r="B26" s="21" t="inlineStr"/>
      <c r="C26" s="22" t="inlineStr">
        <is>
          <t>Graded cards only. Grade goes in ID 27502, cert number in ID 27503.</t>
        </is>
      </c>
    </row>
    <row r="27">
      <c r="A27" s="21" t="inlineStr">
        <is>
          <t>Hybrid Grading Approach (HGA)</t>
        </is>
      </c>
      <c r="B27" s="21" t="inlineStr"/>
      <c r="C27" s="22" t="inlineStr">
        <is>
          <t>Graded cards only. Grade goes in ID 27502, cert number in ID 27503.</t>
        </is>
      </c>
    </row>
    <row r="28">
      <c r="A28" s="21" t="inlineStr">
        <is>
          <t>Technical Authentication &amp; Grading (TAG)</t>
        </is>
      </c>
      <c r="B28" s="21" t="inlineStr"/>
      <c r="C28" s="22" t="inlineStr">
        <is>
          <t>Graded cards only. Grade goes in ID 27502, cert number in ID 27503.</t>
        </is>
      </c>
    </row>
    <row r="29">
      <c r="A29" s="21" t="inlineStr">
        <is>
          <t>Other</t>
        </is>
      </c>
      <c r="B29" s="21" t="inlineStr"/>
      <c r="C29" s="22" t="inlineStr">
        <is>
          <t>Graded cards only. Grade goes in ID 27502, cert number in ID 27503.</t>
        </is>
      </c>
    </row>
    <row r="31">
      <c r="A31" s="3" t="inlineStr">
        <is>
          <t>Fees used by the formulas</t>
        </is>
      </c>
    </row>
    <row r="32">
      <c r="A32" s="9" t="inlineStr">
        <is>
          <t>What</t>
        </is>
      </c>
      <c r="B32" s="9" t="inlineStr">
        <is>
          <t>Code</t>
        </is>
      </c>
      <c r="C32" s="9" t="inlineStr">
        <is>
          <t>Notes</t>
        </is>
      </c>
    </row>
    <row r="33">
      <c r="A33" s="21" t="inlineStr">
        <is>
          <t>eBay final value fee</t>
        </is>
      </c>
      <c r="B33" s="21" t="inlineStr">
        <is>
          <t>13.25%</t>
        </is>
      </c>
      <c r="C33" s="22" t="inlineStr">
        <is>
          <t>Trading cards, charged on the item plus the shipping the buyer pays.</t>
        </is>
      </c>
    </row>
    <row r="34">
      <c r="A34" s="21" t="inlineStr">
        <is>
          <t>eBay per-order fee</t>
        </is>
      </c>
      <c r="B34" s="21" t="inlineStr">
        <is>
          <t>$0.30 / $0.40</t>
        </is>
      </c>
      <c r="C34" s="22" t="inlineStr">
        <is>
          <t>$0.30 when the order is under $10, otherwise $0.40.</t>
        </is>
      </c>
    </row>
    <row r="35">
      <c r="A35" s="21" t="inlineStr">
        <is>
          <t>eBay insertion</t>
        </is>
      </c>
      <c r="B35" s="21" t="inlineStr">
        <is>
          <t>$0.35</t>
        </is>
      </c>
      <c r="C35" s="22" t="inlineStr">
        <is>
          <t>Only past the 250 free listings a month.</t>
        </is>
      </c>
    </row>
    <row r="36">
      <c r="A36" s="21" t="inlineStr">
        <is>
          <t>eBay Standard Envelope</t>
        </is>
      </c>
      <c r="B36" s="21" t="inlineStr">
        <is>
          <t>$0.74 - $1.32</t>
        </is>
      </c>
      <c r="C36" s="22" t="inlineStr">
        <is>
          <t>Raw cards under $20. Tracked, and the cheapest way to move a single.</t>
        </is>
      </c>
    </row>
    <row r="37">
      <c r="A37" s="21" t="inlineStr">
        <is>
          <t>TCGplayer</t>
        </is>
      </c>
      <c r="B37" s="21" t="inlineStr">
        <is>
          <t>10.75% + 2.5% + $0.30</t>
        </is>
      </c>
      <c r="C37" s="22" t="inlineStr">
        <is>
          <t>The $0.30 is per order, not per card, so a cart of singles amortises it. TCG only.</t>
        </is>
      </c>
    </row>
    <row r="38">
      <c r="A38" s="21" t="inlineStr">
        <is>
          <t>COMC</t>
        </is>
      </c>
      <c r="B38" s="21" t="inlineStr">
        <is>
          <t>5% + 10% cash out</t>
        </is>
      </c>
      <c r="C38" s="22" t="inlineStr">
        <is>
          <t>Plus roughly $0.50-1.00 a card to submit. Worth it on volumes of cheap sports singles.</t>
        </is>
      </c>
    </row>
    <row r="40">
      <c r="A40" s="3" t="inlineStr">
        <is>
          <t>Where these came from</t>
        </is>
      </c>
    </row>
    <row r="41">
      <c r="A41" s="9" t="inlineStr">
        <is>
          <t>What</t>
        </is>
      </c>
      <c r="B41" s="9" t="inlineStr">
        <is>
          <t>Code</t>
        </is>
      </c>
      <c r="C41" s="9" t="inlineStr">
        <is>
          <t>Notes</t>
        </is>
      </c>
    </row>
    <row r="42">
      <c r="A42" s="21" t="inlineStr">
        <is>
          <t>Condition IDs and descriptors</t>
        </is>
      </c>
      <c r="B42" s="21" t="inlineStr"/>
      <c r="C42" s="22" t="inlineStr">
        <is>
          <t>eBay Developers, Condition Descriptor IDs; eBay community thread on Seller Hub reports for trading card ungraded values.</t>
        </is>
      </c>
    </row>
    <row r="43">
      <c r="A43" s="21" t="inlineStr">
        <is>
          <t>Category IDs</t>
        </is>
      </c>
      <c r="B43" s="21" t="inlineStr"/>
      <c r="C43" s="22" t="inlineStr">
        <is>
          <t>eBay's own browse URLs, e.g. ebay.com/b/Trading-Card-Singles/261328.</t>
        </is>
      </c>
    </row>
    <row r="44">
      <c r="A44" s="21" t="inlineStr">
        <is>
          <t>Bulk upload route</t>
        </is>
      </c>
      <c r="B44" s="21" t="inlineStr"/>
      <c r="C44" s="22" t="inlineStr">
        <is>
          <t>File Exchange is retired. Uploads now go through Seller Hub, Reports, Uploads.</t>
        </is>
      </c>
    </row>
    <row r="45">
      <c r="A45" s="21" t="inlineStr">
        <is>
          <t>Header row</t>
        </is>
      </c>
      <c r="B45" s="21" t="inlineStr"/>
      <c r="C45" s="22" t="inlineStr">
        <is>
          <t>The header row is tied to your account and template version. Download the template from your own Seller Hub and let make_ebay_csv.py match it.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3" max="3"/>
  </cols>
  <sheetData>
    <row r="1">
      <c r="A1" t="inlineStr">
        <is>
          <t>Graders</t>
        </is>
      </c>
      <c r="C1" t="inlineStr">
        <is>
          <t>Card conditions</t>
        </is>
      </c>
    </row>
    <row r="2">
      <c r="A2" t="inlineStr">
        <is>
          <t>Professional Sports Authenticator (PSA)</t>
        </is>
      </c>
      <c r="C2" t="inlineStr">
        <is>
          <t>Near Mint or Better</t>
        </is>
      </c>
    </row>
    <row r="3">
      <c r="A3" t="inlineStr">
        <is>
          <t>Beckett Grading Services (BGS)</t>
        </is>
      </c>
      <c r="C3" t="inlineStr">
        <is>
          <t>Excellent</t>
        </is>
      </c>
    </row>
    <row r="4">
      <c r="A4" t="inlineStr">
        <is>
          <t>Sportscard Guaranty Corporation (SGC)</t>
        </is>
      </c>
      <c r="C4" t="inlineStr">
        <is>
          <t>Very Good</t>
        </is>
      </c>
    </row>
    <row r="5">
      <c r="A5" t="inlineStr">
        <is>
          <t>Certified Guaranty Company (CGC)</t>
        </is>
      </c>
      <c r="C5" t="inlineStr">
        <is>
          <t>Poor</t>
        </is>
      </c>
    </row>
    <row r="6">
      <c r="A6" t="inlineStr">
        <is>
          <t>Hybrid Grading Approach (HGA)</t>
        </is>
      </c>
    </row>
    <row r="7">
      <c r="A7" t="inlineStr">
        <is>
          <t>Technical Authentication &amp; Grading (TAG)</t>
        </is>
      </c>
    </row>
    <row r="8">
      <c r="A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2026-08-16T14:48:45Z</dcterms:created>
  <dcterms:modified xmlns:dcterms="http://purl.org/dc/terms/" xmlns:xsi="http://www.w3.org/2001/XMLSchema-instance" xsi:type="dcterms:W3CDTF">2026-08-16T14:48:45Z</dcterms:modified>
</cp:coreProperties>
</file>